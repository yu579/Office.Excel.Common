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ЭтаКнига" defaultThemeVersion="124226"/>
  <bookViews>
    <workbookView xWindow="-15" yWindow="165" windowWidth="13710" windowHeight="9825"/>
  </bookViews>
  <sheets>
    <sheet name="Для печати" sheetId="12" r:id="rId1"/>
    <sheet name="Таблица" sheetId="10" r:id="rId2"/>
    <sheet name="Info" sheetId="14" r:id="rId3"/>
    <sheet name="Шаблон листа" sheetId="13" r:id="rId4"/>
  </sheets>
  <definedNames>
    <definedName name="_xlnm._FilterDatabase" localSheetId="1" hidden="1">Таблица!$A$10:$E$10</definedName>
    <definedName name="AdditionalName">Info!$B$19</definedName>
    <definedName name="Approved">Info!$B$9</definedName>
    <definedName name="Author">Info!$B$7</definedName>
    <definedName name="CreationDate">Info!$B$6</definedName>
    <definedName name="Destination">Info!$B$18</definedName>
    <definedName name="DocName">Info!$B$12</definedName>
    <definedName name="IsBlock">Info!$B$14</definedName>
    <definedName name="KDNumber">Info!$B$3</definedName>
    <definedName name="N.Contr">Info!$B$10</definedName>
    <definedName name="NameAdd">Info!$B$5</definedName>
    <definedName name="NameMain">Info!$B$4</definedName>
    <definedName name="NumKD">Info!$B$3</definedName>
    <definedName name="OrderNumber">Info!$B$2</definedName>
    <definedName name="Revisor">Info!$B$8</definedName>
    <definedName name="SelectedText1">Info!$B$21</definedName>
    <definedName name="SelectedText2">Info!$B$22</definedName>
    <definedName name="SheetsNumber">Info!$B$15</definedName>
    <definedName name="T.Contr">Info!$B$11</definedName>
    <definedName name="Version">Info!$B$13</definedName>
  </definedNames>
  <calcPr calcId="125725"/>
</workbook>
</file>

<file path=xl/calcChain.xml><?xml version="1.0" encoding="utf-8"?>
<calcChain xmlns="http://schemas.openxmlformats.org/spreadsheetml/2006/main">
  <c r="F33" i="12"/>
  <c r="F34"/>
  <c r="T34" i="13" l="1"/>
  <c r="S29" i="12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S9"/>
  <c r="S8"/>
  <c r="S7"/>
  <c r="S6"/>
  <c r="S5"/>
  <c r="S4"/>
  <c r="S3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N8"/>
  <c r="N7"/>
  <c r="N6"/>
  <c r="N5"/>
  <c r="N4"/>
  <c r="N3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D29"/>
  <c r="D28"/>
  <c r="D27"/>
  <c r="D26"/>
  <c r="D25"/>
  <c r="D24"/>
  <c r="D23"/>
  <c r="D22"/>
  <c r="D21"/>
  <c r="D20"/>
  <c r="D19"/>
  <c r="D10"/>
  <c r="D11"/>
  <c r="D12"/>
  <c r="D13"/>
  <c r="D14"/>
  <c r="D15"/>
  <c r="D16"/>
  <c r="D17"/>
  <c r="D18"/>
  <c r="D4"/>
  <c r="D5"/>
  <c r="D6"/>
  <c r="D7"/>
  <c r="D8"/>
  <c r="D9"/>
  <c r="D3"/>
  <c r="S2"/>
  <c r="N2"/>
  <c r="H2"/>
  <c r="D2"/>
  <c r="J33"/>
  <c r="D30" l="1"/>
  <c r="F37"/>
  <c r="F36"/>
  <c r="J33" i="13"/>
  <c r="J30" i="12"/>
  <c r="S4" i="13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S3"/>
  <c r="N3"/>
  <c r="H3"/>
  <c r="D3"/>
  <c r="S2"/>
  <c r="N2"/>
  <c r="H2"/>
  <c r="D2"/>
  <c r="I37" i="12"/>
  <c r="I36"/>
  <c r="I34"/>
  <c r="I33"/>
  <c r="T34" l="1"/>
</calcChain>
</file>

<file path=xl/sharedStrings.xml><?xml version="1.0" encoding="utf-8"?>
<sst xmlns="http://schemas.openxmlformats.org/spreadsheetml/2006/main" count="60" uniqueCount="39">
  <si>
    <t>Лист</t>
  </si>
  <si>
    <t>Листов</t>
  </si>
  <si>
    <t>Изм.</t>
  </si>
  <si>
    <t>№ докум.</t>
  </si>
  <si>
    <t>Подп.</t>
  </si>
  <si>
    <t>Дата</t>
  </si>
  <si>
    <t>Разраб.</t>
  </si>
  <si>
    <t>Лит</t>
  </si>
  <si>
    <t>Пров.</t>
  </si>
  <si>
    <t>Н.конт.</t>
  </si>
  <si>
    <t>Утв.</t>
  </si>
  <si>
    <t>Наименование</t>
  </si>
  <si>
    <t>Номер заказа</t>
  </si>
  <si>
    <t>Исполнитель</t>
  </si>
  <si>
    <t>Поз.              обозначение</t>
  </si>
  <si>
    <t>Кол.</t>
  </si>
  <si>
    <t>Приме-
чание</t>
  </si>
  <si>
    <t>Подпись и дата</t>
  </si>
  <si>
    <t>Инв. № дубл.</t>
  </si>
  <si>
    <t>Инв. № подл.</t>
  </si>
  <si>
    <t>И</t>
  </si>
  <si>
    <t>Блок (да/нет)</t>
  </si>
  <si>
    <t>Н. контр</t>
  </si>
  <si>
    <t>Номер КД сборочной единицы</t>
  </si>
  <si>
    <t>Версия</t>
  </si>
  <si>
    <t>1</t>
  </si>
  <si>
    <t>Параметр</t>
  </si>
  <si>
    <t>Значение</t>
  </si>
  <si>
    <t>Наименование дополнительное</t>
  </si>
  <si>
    <t>Выделить в перечне</t>
  </si>
  <si>
    <t>Наименование основное</t>
  </si>
  <si>
    <t>Т. контр</t>
  </si>
  <si>
    <t>Название документа</t>
  </si>
  <si>
    <t>Количество листов в документе</t>
  </si>
  <si>
    <t xml:space="preserve">Взам. инв. № </t>
  </si>
  <si>
    <t xml:space="preserve"> </t>
  </si>
  <si>
    <t>ЗИП</t>
  </si>
  <si>
    <t>23.10.26</t>
  </si>
  <si>
    <t>Перечень электрокомпонентов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</si>
</sst>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 Cyr"/>
      <charset val="204"/>
    </font>
    <font>
      <sz val="10"/>
      <name val="Arial"/>
      <family val="2"/>
      <charset val="204"/>
    </font>
    <font>
      <i/>
      <sz val="16"/>
      <name val="GOST type A"/>
      <family val="2"/>
    </font>
    <font>
      <i/>
      <sz val="12"/>
      <name val="GOST type A"/>
      <family val="2"/>
    </font>
    <font>
      <b/>
      <i/>
      <sz val="14"/>
      <name val="GOST type A"/>
      <family val="2"/>
    </font>
    <font>
      <i/>
      <sz val="10"/>
      <name val="GOST type A"/>
      <family val="2"/>
    </font>
    <font>
      <i/>
      <sz val="20"/>
      <name val="GOST type A"/>
      <family val="2"/>
    </font>
    <font>
      <i/>
      <sz val="14"/>
      <name val="GOST type A"/>
      <family val="2"/>
    </font>
    <font>
      <sz val="12"/>
      <color theme="1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9" fillId="0" borderId="0"/>
  </cellStyleXfs>
  <cellXfs count="145">
    <xf numFmtId="0" fontId="0" fillId="0" borderId="0" xfId="0"/>
    <xf numFmtId="49" fontId="3" fillId="0" borderId="0" xfId="1" applyNumberFormat="1" applyFont="1" applyBorder="1"/>
    <xf numFmtId="49" fontId="3" fillId="0" borderId="0" xfId="1" applyNumberFormat="1" applyFont="1"/>
    <xf numFmtId="0" fontId="3" fillId="0" borderId="0" xfId="1" applyFont="1"/>
    <xf numFmtId="49" fontId="4" fillId="0" borderId="0" xfId="1" applyNumberFormat="1" applyFont="1"/>
    <xf numFmtId="49" fontId="3" fillId="0" borderId="0" xfId="1" applyNumberFormat="1" applyFont="1" applyAlignment="1">
      <alignment wrapText="1"/>
    </xf>
    <xf numFmtId="0" fontId="4" fillId="0" borderId="0" xfId="1" applyFont="1"/>
    <xf numFmtId="49" fontId="4" fillId="0" borderId="0" xfId="1" applyNumberFormat="1" applyFont="1" applyBorder="1" applyAlignment="1">
      <alignment horizontal="center" vertical="center" textRotation="90"/>
    </xf>
    <xf numFmtId="49" fontId="4" fillId="0" borderId="0" xfId="1" applyNumberFormat="1" applyFont="1" applyBorder="1"/>
    <xf numFmtId="0" fontId="0" fillId="0" borderId="29" xfId="0" applyBorder="1"/>
    <xf numFmtId="22" fontId="0" fillId="0" borderId="29" xfId="0" applyNumberFormat="1" applyBorder="1"/>
    <xf numFmtId="21" fontId="0" fillId="0" borderId="29" xfId="0" applyNumberFormat="1" applyBorder="1"/>
    <xf numFmtId="0" fontId="2" fillId="0" borderId="29" xfId="0" applyFont="1" applyBorder="1"/>
    <xf numFmtId="0" fontId="2" fillId="0" borderId="29" xfId="0" applyFont="1" applyFill="1" applyBorder="1"/>
    <xf numFmtId="49" fontId="4" fillId="0" borderId="2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 wrapText="1"/>
    </xf>
    <xf numFmtId="49" fontId="4" fillId="0" borderId="30" xfId="1" applyNumberFormat="1" applyFont="1" applyBorder="1" applyAlignment="1">
      <alignment wrapText="1"/>
    </xf>
    <xf numFmtId="49" fontId="4" fillId="0" borderId="23" xfId="1" applyNumberFormat="1" applyFont="1" applyBorder="1" applyAlignment="1">
      <alignment wrapText="1"/>
    </xf>
    <xf numFmtId="49" fontId="4" fillId="0" borderId="30" xfId="1" applyNumberFormat="1" applyFont="1" applyBorder="1"/>
    <xf numFmtId="49" fontId="4" fillId="0" borderId="23" xfId="1" applyNumberFormat="1" applyFont="1" applyBorder="1"/>
    <xf numFmtId="49" fontId="4" fillId="0" borderId="0" xfId="1" applyNumberFormat="1" applyFont="1" applyBorder="1" applyAlignment="1">
      <alignment horizontal="center" vertical="center" textRotation="90"/>
    </xf>
    <xf numFmtId="49" fontId="4" fillId="0" borderId="20" xfId="1" applyNumberFormat="1" applyFont="1" applyBorder="1" applyAlignment="1">
      <alignment horizontal="center" vertical="center"/>
    </xf>
    <xf numFmtId="49" fontId="4" fillId="0" borderId="18" xfId="1" applyNumberFormat="1" applyFont="1" applyBorder="1"/>
    <xf numFmtId="49" fontId="4" fillId="0" borderId="27" xfId="1" applyNumberFormat="1" applyFont="1" applyBorder="1"/>
    <xf numFmtId="0" fontId="4" fillId="0" borderId="20" xfId="1" applyNumberFormat="1" applyFont="1" applyBorder="1" applyAlignment="1">
      <alignment wrapText="1"/>
    </xf>
    <xf numFmtId="49" fontId="4" fillId="0" borderId="11" xfId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wrapText="1"/>
    </xf>
    <xf numFmtId="0" fontId="4" fillId="0" borderId="10" xfId="1" applyNumberFormat="1" applyFont="1" applyBorder="1" applyAlignment="1">
      <alignment horizontal="center" vertical="center"/>
    </xf>
    <xf numFmtId="49" fontId="4" fillId="0" borderId="14" xfId="1" applyNumberFormat="1" applyFont="1" applyBorder="1" applyAlignment="1">
      <alignment horizontal="center" vertical="center"/>
    </xf>
    <xf numFmtId="49" fontId="4" fillId="0" borderId="16" xfId="1" applyNumberFormat="1" applyFont="1" applyBorder="1" applyAlignment="1">
      <alignment horizontal="center" vertical="center" shrinkToFit="1"/>
    </xf>
    <xf numFmtId="49" fontId="4" fillId="0" borderId="18" xfId="1" applyNumberFormat="1" applyFont="1" applyBorder="1" applyAlignment="1">
      <alignment vertical="center" shrinkToFit="1"/>
    </xf>
    <xf numFmtId="49" fontId="4" fillId="0" borderId="24" xfId="1" applyNumberFormat="1" applyFont="1" applyBorder="1" applyAlignment="1">
      <alignment vertical="center" shrinkToFit="1"/>
    </xf>
    <xf numFmtId="49" fontId="2" fillId="0" borderId="29" xfId="0" applyNumberFormat="1" applyFont="1" applyBorder="1"/>
    <xf numFmtId="0" fontId="4" fillId="0" borderId="27" xfId="1" applyNumberFormat="1" applyFont="1" applyBorder="1" applyAlignment="1">
      <alignment vertical="center" wrapText="1"/>
    </xf>
    <xf numFmtId="22" fontId="4" fillId="0" borderId="2" xfId="1" applyNumberFormat="1" applyFont="1" applyBorder="1" applyAlignment="1">
      <alignment vertical="center" shrinkToFit="1"/>
    </xf>
    <xf numFmtId="0" fontId="4" fillId="0" borderId="18" xfId="1" applyNumberFormat="1" applyFont="1" applyBorder="1" applyAlignment="1">
      <alignment vertical="center" shrinkToFit="1"/>
    </xf>
    <xf numFmtId="0" fontId="4" fillId="0" borderId="20" xfId="1" applyNumberFormat="1" applyFont="1" applyBorder="1" applyAlignment="1">
      <alignment vertical="center" shrinkToFit="1"/>
    </xf>
    <xf numFmtId="49" fontId="0" fillId="0" borderId="0" xfId="0" applyNumberFormat="1" applyFill="1"/>
    <xf numFmtId="0" fontId="0" fillId="0" borderId="0" xfId="0" applyFill="1"/>
    <xf numFmtId="0" fontId="4" fillId="0" borderId="18" xfId="1" applyNumberFormat="1" applyFont="1" applyBorder="1" applyAlignment="1">
      <alignment horizontal="left" shrinkToFit="1"/>
    </xf>
    <xf numFmtId="0" fontId="4" fillId="0" borderId="1" xfId="1" applyNumberFormat="1" applyFont="1" applyBorder="1" applyAlignment="1">
      <alignment horizontal="left" shrinkToFit="1"/>
    </xf>
    <xf numFmtId="0" fontId="4" fillId="0" borderId="19" xfId="1" applyNumberFormat="1" applyFont="1" applyBorder="1" applyAlignment="1">
      <alignment horizontal="left" shrinkToFit="1"/>
    </xf>
    <xf numFmtId="0" fontId="6" fillId="0" borderId="18" xfId="1" applyNumberFormat="1" applyFont="1" applyBorder="1" applyAlignment="1">
      <alignment horizontal="left" wrapText="1"/>
    </xf>
    <xf numFmtId="0" fontId="6" fillId="0" borderId="19" xfId="1" applyNumberFormat="1" applyFont="1" applyBorder="1" applyAlignment="1">
      <alignment horizontal="left" wrapText="1"/>
    </xf>
    <xf numFmtId="0" fontId="4" fillId="0" borderId="20" xfId="1" applyNumberFormat="1" applyFont="1" applyBorder="1" applyAlignment="1">
      <alignment horizontal="left" shrinkToFit="1"/>
    </xf>
    <xf numFmtId="0" fontId="4" fillId="0" borderId="21" xfId="1" applyNumberFormat="1" applyFont="1" applyBorder="1" applyAlignment="1">
      <alignment horizontal="left" shrinkToFit="1"/>
    </xf>
    <xf numFmtId="0" fontId="4" fillId="0" borderId="22" xfId="1" applyNumberFormat="1" applyFont="1" applyBorder="1" applyAlignment="1">
      <alignment horizontal="left" shrinkToFit="1"/>
    </xf>
    <xf numFmtId="0" fontId="6" fillId="0" borderId="20" xfId="1" applyNumberFormat="1" applyFont="1" applyBorder="1" applyAlignment="1">
      <alignment horizontal="left" wrapText="1"/>
    </xf>
    <xf numFmtId="0" fontId="6" fillId="0" borderId="22" xfId="1" applyNumberFormat="1" applyFont="1" applyBorder="1" applyAlignment="1">
      <alignment horizontal="left" wrapText="1"/>
    </xf>
    <xf numFmtId="49" fontId="4" fillId="0" borderId="2" xfId="1" applyNumberFormat="1" applyFont="1" applyBorder="1" applyAlignment="1">
      <alignment horizontal="left" shrinkToFit="1"/>
    </xf>
    <xf numFmtId="0" fontId="4" fillId="0" borderId="3" xfId="1" applyNumberFormat="1" applyFont="1" applyBorder="1" applyAlignment="1">
      <alignment horizontal="left" shrinkToFit="1"/>
    </xf>
    <xf numFmtId="0" fontId="4" fillId="0" borderId="4" xfId="1" applyNumberFormat="1" applyFont="1" applyBorder="1" applyAlignment="1">
      <alignment horizontal="left" shrinkToFit="1"/>
    </xf>
    <xf numFmtId="49" fontId="6" fillId="0" borderId="2" xfId="1" applyNumberFormat="1" applyFont="1" applyBorder="1" applyAlignment="1">
      <alignment horizontal="left" wrapText="1"/>
    </xf>
    <xf numFmtId="0" fontId="6" fillId="0" borderId="4" xfId="1" applyNumberFormat="1" applyFont="1" applyBorder="1" applyAlignment="1">
      <alignment horizontal="left" wrapText="1"/>
    </xf>
    <xf numFmtId="49" fontId="4" fillId="0" borderId="18" xfId="1" applyNumberFormat="1" applyFont="1" applyBorder="1" applyAlignment="1">
      <alignment horizontal="left" shrinkToFit="1"/>
    </xf>
    <xf numFmtId="49" fontId="6" fillId="0" borderId="18" xfId="1" applyNumberFormat="1" applyFont="1" applyBorder="1" applyAlignment="1">
      <alignment horizontal="left" wrapText="1"/>
    </xf>
    <xf numFmtId="49" fontId="8" fillId="0" borderId="2" xfId="1" applyNumberFormat="1" applyFont="1" applyBorder="1" applyAlignment="1">
      <alignment horizontal="center" vertical="center"/>
    </xf>
    <xf numFmtId="49" fontId="8" fillId="0" borderId="3" xfId="1" applyNumberFormat="1" applyFont="1" applyBorder="1" applyAlignment="1">
      <alignment horizontal="center" vertical="center"/>
    </xf>
    <xf numFmtId="49" fontId="8" fillId="0" borderId="4" xfId="1" applyNumberFormat="1" applyFont="1" applyBorder="1" applyAlignment="1">
      <alignment horizontal="center" vertical="center"/>
    </xf>
    <xf numFmtId="49" fontId="8" fillId="0" borderId="8" xfId="1" applyNumberFormat="1" applyFont="1" applyBorder="1" applyAlignment="1">
      <alignment horizontal="center" vertical="center"/>
    </xf>
    <xf numFmtId="49" fontId="8" fillId="0" borderId="0" xfId="1" applyNumberFormat="1" applyFont="1" applyBorder="1" applyAlignment="1">
      <alignment horizontal="center" vertical="center"/>
    </xf>
    <xf numFmtId="49" fontId="8" fillId="0" borderId="9" xfId="1" applyNumberFormat="1" applyFont="1" applyBorder="1" applyAlignment="1">
      <alignment horizontal="center" vertical="center"/>
    </xf>
    <xf numFmtId="49" fontId="8" fillId="0" borderId="5" xfId="1" applyNumberFormat="1" applyFont="1" applyBorder="1" applyAlignment="1">
      <alignment horizontal="center" vertical="center"/>
    </xf>
    <xf numFmtId="49" fontId="8" fillId="0" borderId="6" xfId="1" applyNumberFormat="1" applyFont="1" applyBorder="1" applyAlignment="1">
      <alignment horizontal="center" vertical="center"/>
    </xf>
    <xf numFmtId="49" fontId="8" fillId="0" borderId="7" xfId="1" applyNumberFormat="1" applyFont="1" applyBorder="1" applyAlignment="1">
      <alignment horizontal="center" vertical="center"/>
    </xf>
    <xf numFmtId="0" fontId="7" fillId="0" borderId="8" xfId="1" applyNumberFormat="1" applyFont="1" applyBorder="1" applyAlignment="1">
      <alignment horizontal="center" vertical="center"/>
    </xf>
    <xf numFmtId="0" fontId="7" fillId="0" borderId="0" xfId="1" applyNumberFormat="1" applyFont="1" applyBorder="1" applyAlignment="1">
      <alignment horizontal="center" vertical="center"/>
    </xf>
    <xf numFmtId="0" fontId="7" fillId="0" borderId="9" xfId="1" applyNumberFormat="1" applyFont="1" applyBorder="1" applyAlignment="1">
      <alignment horizontal="center" vertical="center"/>
    </xf>
    <xf numFmtId="0" fontId="7" fillId="0" borderId="5" xfId="1" applyNumberFormat="1" applyFont="1" applyBorder="1" applyAlignment="1">
      <alignment horizontal="center" vertical="center"/>
    </xf>
    <xf numFmtId="0" fontId="7" fillId="0" borderId="6" xfId="1" applyNumberFormat="1" applyFont="1" applyBorder="1" applyAlignment="1">
      <alignment horizontal="center" vertical="center"/>
    </xf>
    <xf numFmtId="0" fontId="7" fillId="0" borderId="7" xfId="1" applyNumberFormat="1" applyFont="1" applyBorder="1" applyAlignment="1">
      <alignment horizontal="center" vertical="center"/>
    </xf>
    <xf numFmtId="49" fontId="5" fillId="0" borderId="11" xfId="1" applyNumberFormat="1" applyFont="1" applyBorder="1" applyAlignment="1">
      <alignment horizontal="center" vertical="center"/>
    </xf>
    <xf numFmtId="49" fontId="5" fillId="0" borderId="12" xfId="1" applyNumberFormat="1" applyFont="1" applyBorder="1" applyAlignment="1">
      <alignment horizontal="center" vertical="center"/>
    </xf>
    <xf numFmtId="49" fontId="5" fillId="0" borderId="13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center" vertical="center"/>
    </xf>
    <xf numFmtId="49" fontId="4" fillId="0" borderId="25" xfId="1" applyNumberFormat="1" applyFont="1" applyBorder="1" applyAlignment="1">
      <alignment horizontal="center" vertical="center"/>
    </xf>
    <xf numFmtId="49" fontId="4" fillId="0" borderId="26" xfId="1" applyNumberFormat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 textRotation="90"/>
    </xf>
    <xf numFmtId="0" fontId="5" fillId="0" borderId="12" xfId="1" applyFont="1" applyBorder="1" applyAlignment="1">
      <alignment horizontal="center" vertical="center" textRotation="90"/>
    </xf>
    <xf numFmtId="0" fontId="5" fillId="0" borderId="13" xfId="1" applyFont="1" applyBorder="1" applyAlignment="1">
      <alignment horizontal="center" vertical="center" textRotation="90"/>
    </xf>
    <xf numFmtId="0" fontId="5" fillId="0" borderId="11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49" fontId="4" fillId="0" borderId="18" xfId="1" applyNumberFormat="1" applyFont="1" applyBorder="1" applyAlignment="1">
      <alignment horizontal="left" vertical="center" wrapText="1"/>
    </xf>
    <xf numFmtId="49" fontId="4" fillId="0" borderId="1" xfId="1" applyNumberFormat="1" applyFont="1" applyBorder="1" applyAlignment="1">
      <alignment horizontal="left" vertical="center" wrapText="1"/>
    </xf>
    <xf numFmtId="49" fontId="4" fillId="0" borderId="18" xfId="1" applyNumberFormat="1" applyFont="1" applyBorder="1" applyAlignment="1">
      <alignment horizontal="left" vertical="center"/>
    </xf>
    <xf numFmtId="49" fontId="4" fillId="0" borderId="1" xfId="1" applyNumberFormat="1" applyFont="1" applyBorder="1" applyAlignment="1">
      <alignment horizontal="left" vertical="center"/>
    </xf>
    <xf numFmtId="0" fontId="4" fillId="0" borderId="2" xfId="1" applyNumberFormat="1" applyFont="1" applyBorder="1" applyAlignment="1">
      <alignment horizontal="center" vertical="center" wrapText="1"/>
    </xf>
    <xf numFmtId="0" fontId="8" fillId="0" borderId="8" xfId="1" applyNumberFormat="1" applyFont="1" applyBorder="1" applyAlignment="1">
      <alignment horizontal="center" vertical="center" wrapText="1"/>
    </xf>
    <xf numFmtId="0" fontId="8" fillId="0" borderId="5" xfId="1" applyNumberFormat="1" applyFont="1" applyBorder="1" applyAlignment="1">
      <alignment horizontal="center" vertical="center" wrapText="1"/>
    </xf>
    <xf numFmtId="49" fontId="4" fillId="0" borderId="18" xfId="1" applyNumberFormat="1" applyFont="1" applyBorder="1" applyAlignment="1">
      <alignment vertical="center"/>
    </xf>
    <xf numFmtId="49" fontId="4" fillId="0" borderId="1" xfId="1" applyNumberFormat="1" applyFont="1" applyBorder="1" applyAlignment="1">
      <alignment vertical="center"/>
    </xf>
    <xf numFmtId="49" fontId="4" fillId="0" borderId="1" xfId="1" applyNumberFormat="1" applyFont="1" applyBorder="1" applyAlignment="1">
      <alignment horizontal="left" shrinkToFit="1"/>
    </xf>
    <xf numFmtId="49" fontId="4" fillId="0" borderId="19" xfId="1" applyNumberFormat="1" applyFont="1" applyBorder="1" applyAlignment="1">
      <alignment horizontal="left" shrinkToFit="1"/>
    </xf>
    <xf numFmtId="49" fontId="5" fillId="0" borderId="11" xfId="1" applyNumberFormat="1" applyFont="1" applyBorder="1" applyAlignment="1">
      <alignment horizontal="center" vertical="center" wrapText="1"/>
    </xf>
    <xf numFmtId="49" fontId="5" fillId="0" borderId="12" xfId="1" applyNumberFormat="1" applyFont="1" applyBorder="1" applyAlignment="1">
      <alignment horizontal="center" vertical="center" wrapText="1"/>
    </xf>
    <xf numFmtId="49" fontId="5" fillId="0" borderId="13" xfId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left" textRotation="90"/>
    </xf>
    <xf numFmtId="49" fontId="4" fillId="0" borderId="14" xfId="1" applyNumberFormat="1" applyFont="1" applyBorder="1" applyAlignment="1">
      <alignment horizontal="left" textRotation="90"/>
    </xf>
    <xf numFmtId="49" fontId="4" fillId="0" borderId="15" xfId="1" applyNumberFormat="1" applyFont="1" applyBorder="1" applyAlignment="1">
      <alignment horizontal="left" textRotation="90"/>
    </xf>
    <xf numFmtId="49" fontId="4" fillId="0" borderId="10" xfId="1" applyNumberFormat="1" applyFont="1" applyBorder="1" applyAlignment="1">
      <alignment horizontal="center" vertical="center" textRotation="90"/>
    </xf>
    <xf numFmtId="49" fontId="4" fillId="0" borderId="14" xfId="1" applyNumberFormat="1" applyFont="1" applyBorder="1" applyAlignment="1">
      <alignment horizontal="center" vertical="center" textRotation="90"/>
    </xf>
    <xf numFmtId="49" fontId="4" fillId="0" borderId="15" xfId="1" applyNumberFormat="1" applyFont="1" applyBorder="1" applyAlignment="1">
      <alignment horizontal="center" vertical="center" textRotation="90"/>
    </xf>
    <xf numFmtId="49" fontId="4" fillId="0" borderId="16" xfId="1" applyNumberFormat="1" applyFont="1" applyBorder="1" applyAlignment="1">
      <alignment horizontal="left" vertical="center" wrapText="1"/>
    </xf>
    <xf numFmtId="49" fontId="4" fillId="0" borderId="17" xfId="1" applyNumberFormat="1" applyFont="1" applyBorder="1" applyAlignment="1">
      <alignment horizontal="left" vertical="center" wrapText="1"/>
    </xf>
    <xf numFmtId="49" fontId="4" fillId="0" borderId="16" xfId="1" applyNumberFormat="1" applyFont="1" applyBorder="1" applyAlignment="1">
      <alignment horizontal="left" vertical="center"/>
    </xf>
    <xf numFmtId="49" fontId="4" fillId="0" borderId="17" xfId="1" applyNumberFormat="1" applyFont="1" applyBorder="1" applyAlignment="1">
      <alignment horizontal="left" vertical="center"/>
    </xf>
    <xf numFmtId="49" fontId="4" fillId="0" borderId="20" xfId="1" applyNumberFormat="1" applyFont="1" applyBorder="1" applyAlignment="1">
      <alignment horizontal="left" vertical="center" wrapText="1"/>
    </xf>
    <xf numFmtId="49" fontId="4" fillId="0" borderId="21" xfId="1" applyNumberFormat="1" applyFont="1" applyBorder="1" applyAlignment="1">
      <alignment horizontal="left" vertical="center" wrapText="1"/>
    </xf>
    <xf numFmtId="49" fontId="4" fillId="0" borderId="20" xfId="1" applyNumberFormat="1" applyFont="1" applyBorder="1" applyAlignment="1">
      <alignment horizontal="left" vertical="center"/>
    </xf>
    <xf numFmtId="49" fontId="4" fillId="0" borderId="21" xfId="1" applyNumberFormat="1" applyFont="1" applyBorder="1" applyAlignment="1">
      <alignment horizontal="left" vertical="center"/>
    </xf>
    <xf numFmtId="49" fontId="4" fillId="0" borderId="30" xfId="1" applyNumberFormat="1" applyFont="1" applyBorder="1" applyAlignment="1">
      <alignment horizontal="left"/>
    </xf>
    <xf numFmtId="49" fontId="4" fillId="0" borderId="23" xfId="1" applyNumberFormat="1" applyFont="1" applyBorder="1" applyAlignment="1">
      <alignment horizontal="left"/>
    </xf>
    <xf numFmtId="49" fontId="4" fillId="0" borderId="8" xfId="1" applyNumberFormat="1" applyFont="1" applyBorder="1" applyAlignment="1">
      <alignment horizontal="center" vertical="center" textRotation="90"/>
    </xf>
    <xf numFmtId="49" fontId="4" fillId="0" borderId="5" xfId="1" applyNumberFormat="1" applyFont="1" applyBorder="1" applyAlignment="1">
      <alignment horizontal="center" vertical="center" textRotation="90"/>
    </xf>
    <xf numFmtId="49" fontId="4" fillId="0" borderId="3" xfId="1" applyNumberFormat="1" applyFont="1" applyBorder="1" applyAlignment="1">
      <alignment horizontal="center" vertical="center" textRotation="90"/>
    </xf>
    <xf numFmtId="49" fontId="4" fillId="0" borderId="0" xfId="1" applyNumberFormat="1" applyFont="1" applyBorder="1" applyAlignment="1">
      <alignment horizontal="center" vertical="center" textRotation="90"/>
    </xf>
    <xf numFmtId="49" fontId="4" fillId="0" borderId="6" xfId="1" applyNumberFormat="1" applyFont="1" applyBorder="1" applyAlignment="1">
      <alignment horizontal="center" vertical="center" textRotation="90"/>
    </xf>
    <xf numFmtId="49" fontId="4" fillId="0" borderId="10" xfId="1" applyNumberFormat="1" applyFont="1" applyBorder="1" applyAlignment="1">
      <alignment horizontal="left" shrinkToFit="1"/>
    </xf>
    <xf numFmtId="0" fontId="4" fillId="0" borderId="10" xfId="1" applyNumberFormat="1" applyFont="1" applyBorder="1" applyAlignment="1">
      <alignment horizontal="left" shrinkToFit="1"/>
    </xf>
    <xf numFmtId="49" fontId="4" fillId="0" borderId="18" xfId="1" applyNumberFormat="1" applyFont="1" applyBorder="1"/>
    <xf numFmtId="49" fontId="4" fillId="0" borderId="1" xfId="1" applyNumberFormat="1" applyFont="1" applyBorder="1"/>
    <xf numFmtId="0" fontId="4" fillId="0" borderId="10" xfId="1" applyNumberFormat="1" applyFont="1" applyBorder="1" applyAlignment="1">
      <alignment horizontal="center" vertical="center"/>
    </xf>
    <xf numFmtId="0" fontId="4" fillId="0" borderId="15" xfId="1" applyNumberFormat="1" applyFont="1" applyBorder="1" applyAlignment="1">
      <alignment horizontal="center" vertical="center"/>
    </xf>
    <xf numFmtId="49" fontId="4" fillId="0" borderId="27" xfId="1" applyNumberFormat="1" applyFont="1" applyBorder="1"/>
    <xf numFmtId="49" fontId="4" fillId="0" borderId="28" xfId="1" applyNumberFormat="1" applyFont="1" applyBorder="1"/>
    <xf numFmtId="49" fontId="4" fillId="0" borderId="20" xfId="1" applyNumberFormat="1" applyFont="1" applyBorder="1" applyAlignment="1">
      <alignment horizontal="center" vertical="center"/>
    </xf>
    <xf numFmtId="49" fontId="4" fillId="0" borderId="21" xfId="1" applyNumberFormat="1" applyFont="1" applyBorder="1" applyAlignment="1">
      <alignment horizontal="center" vertical="center"/>
    </xf>
    <xf numFmtId="0" fontId="4" fillId="0" borderId="18" xfId="1" applyNumberFormat="1" applyFont="1" applyBorder="1" applyAlignment="1">
      <alignment horizontal="center" shrinkToFit="1"/>
    </xf>
    <xf numFmtId="0" fontId="4" fillId="0" borderId="1" xfId="1" applyNumberFormat="1" applyFont="1" applyBorder="1" applyAlignment="1">
      <alignment horizontal="center" shrinkToFit="1"/>
    </xf>
    <xf numFmtId="0" fontId="4" fillId="0" borderId="19" xfId="1" applyNumberFormat="1" applyFont="1" applyBorder="1" applyAlignment="1">
      <alignment horizontal="center" shrinkToFit="1"/>
    </xf>
    <xf numFmtId="0" fontId="4" fillId="0" borderId="20" xfId="1" applyNumberFormat="1" applyFont="1" applyBorder="1" applyAlignment="1">
      <alignment horizontal="center" shrinkToFit="1"/>
    </xf>
    <xf numFmtId="0" fontId="4" fillId="0" borderId="21" xfId="1" applyNumberFormat="1" applyFont="1" applyBorder="1" applyAlignment="1">
      <alignment horizontal="center" shrinkToFit="1"/>
    </xf>
    <xf numFmtId="0" fontId="4" fillId="0" borderId="22" xfId="1" applyNumberFormat="1" applyFont="1" applyBorder="1" applyAlignment="1">
      <alignment horizontal="center" shrinkToFit="1"/>
    </xf>
    <xf numFmtId="49" fontId="5" fillId="0" borderId="11" xfId="1" applyNumberFormat="1" applyFont="1" applyBorder="1" applyAlignment="1">
      <alignment horizontal="center" vertical="center" textRotation="90"/>
    </xf>
    <xf numFmtId="49" fontId="5" fillId="0" borderId="12" xfId="1" applyNumberFormat="1" applyFont="1" applyBorder="1" applyAlignment="1">
      <alignment horizontal="center" vertical="center" textRotation="90"/>
    </xf>
    <xf numFmtId="49" fontId="5" fillId="0" borderId="13" xfId="1" applyNumberFormat="1" applyFont="1" applyBorder="1" applyAlignment="1">
      <alignment horizontal="center" vertical="center" textRotation="90"/>
    </xf>
    <xf numFmtId="0" fontId="4" fillId="0" borderId="2" xfId="1" applyNumberFormat="1" applyFont="1" applyBorder="1" applyAlignment="1">
      <alignment horizontal="left" shrinkToFit="1"/>
    </xf>
    <xf numFmtId="0" fontId="4" fillId="0" borderId="2" xfId="1" applyNumberFormat="1" applyFont="1" applyBorder="1" applyAlignment="1">
      <alignment horizontal="center" shrinkToFit="1"/>
    </xf>
    <xf numFmtId="0" fontId="4" fillId="0" borderId="3" xfId="1" applyNumberFormat="1" applyFont="1" applyBorder="1" applyAlignment="1">
      <alignment horizontal="center" shrinkToFit="1"/>
    </xf>
    <xf numFmtId="0" fontId="4" fillId="0" borderId="4" xfId="1" applyNumberFormat="1" applyFont="1" applyBorder="1" applyAlignment="1">
      <alignment horizontal="center" shrinkToFit="1"/>
    </xf>
    <xf numFmtId="0" fontId="6" fillId="0" borderId="2" xfId="1" applyNumberFormat="1" applyFont="1" applyBorder="1" applyAlignment="1">
      <alignment horizontal="left" wrapText="1"/>
    </xf>
  </cellXfs>
  <cellStyles count="5">
    <cellStyle name="Обычный" xfId="0" builtinId="0"/>
    <cellStyle name="Обычный 2" xfId="1"/>
    <cellStyle name="Обычный 3" xfId="2"/>
    <cellStyle name="Обычный 4" xfId="3"/>
    <cellStyle name="Обычный 5" xfId="4"/>
  </cellStyles>
  <dxfs count="3">
    <dxf>
      <font>
        <b/>
        <i/>
        <u val="double"/>
      </font>
    </dxf>
    <dxf>
      <font>
        <b/>
        <i/>
        <u/>
      </font>
    </dxf>
    <dxf>
      <font>
        <b/>
        <i/>
        <strike val="0"/>
        <u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2">
    <pageSetUpPr fitToPage="1"/>
  </sheetPr>
  <dimension ref="A1:WZB37"/>
  <sheetViews>
    <sheetView showZeros="0" tabSelected="1" view="pageBreakPreview" zoomScaleNormal="100" zoomScaleSheetLayoutView="100" workbookViewId="0">
      <selection activeCell="F33" sqref="F33"/>
    </sheetView>
  </sheetViews>
  <sheetFormatPr defaultColWidth="0" defaultRowHeight="6.75" customHeight="1"/>
  <cols>
    <col min="1" max="1" width="1.140625" style="2" customWidth="1"/>
    <col min="2" max="2" width="3" style="4" customWidth="1"/>
    <col min="3" max="3" width="3.85546875" style="4" customWidth="1"/>
    <col min="4" max="4" width="4" style="5" customWidth="1"/>
    <col min="5" max="5" width="5.140625" style="5" customWidth="1"/>
    <col min="6" max="6" width="11.140625" style="5" customWidth="1"/>
    <col min="7" max="7" width="4.28515625" style="5" customWidth="1"/>
    <col min="8" max="8" width="7" style="2" customWidth="1"/>
    <col min="9" max="9" width="5" style="2" customWidth="1"/>
    <col min="10" max="10" width="35.140625" style="2" customWidth="1"/>
    <col min="11" max="11" width="3" style="2" customWidth="1"/>
    <col min="12" max="18" width="1" style="2" customWidth="1"/>
    <col min="19" max="19" width="7" style="5" customWidth="1"/>
    <col min="20" max="20" width="8" style="5" customWidth="1"/>
    <col min="21" max="41" width="1" style="2" customWidth="1"/>
    <col min="42" max="56" width="1.140625" style="2" customWidth="1"/>
    <col min="57" max="88" width="1" style="2" customWidth="1"/>
    <col min="89" max="89" width="0.42578125" style="2" customWidth="1"/>
    <col min="90" max="248" width="1.28515625" style="2" hidden="1"/>
    <col min="249" max="249" width="1.140625" style="2" customWidth="1"/>
    <col min="250" max="250" width="2.5703125" style="2" customWidth="1"/>
    <col min="251" max="251" width="3.85546875" style="2" customWidth="1"/>
    <col min="252" max="297" width="1" style="2" customWidth="1"/>
    <col min="298" max="312" width="1.140625" style="2" customWidth="1"/>
    <col min="313" max="344" width="1" style="2" customWidth="1"/>
    <col min="345" max="345" width="0.42578125" style="2" customWidth="1"/>
    <col min="346" max="504" width="1.28515625" style="2" hidden="1"/>
    <col min="505" max="505" width="1.140625" style="2" customWidth="1"/>
    <col min="506" max="506" width="2.5703125" style="2" customWidth="1"/>
    <col min="507" max="507" width="3.85546875" style="2" customWidth="1"/>
    <col min="508" max="553" width="1" style="2" customWidth="1"/>
    <col min="554" max="568" width="1.140625" style="2" customWidth="1"/>
    <col min="569" max="600" width="1" style="2" customWidth="1"/>
    <col min="601" max="601" width="0.42578125" style="2" customWidth="1"/>
    <col min="602" max="760" width="1.28515625" style="2" hidden="1"/>
    <col min="761" max="761" width="1.140625" style="2" customWidth="1"/>
    <col min="762" max="762" width="2.5703125" style="2" customWidth="1"/>
    <col min="763" max="763" width="3.85546875" style="2" customWidth="1"/>
    <col min="764" max="809" width="1" style="2" customWidth="1"/>
    <col min="810" max="824" width="1.140625" style="2" customWidth="1"/>
    <col min="825" max="856" width="1" style="2" customWidth="1"/>
    <col min="857" max="857" width="0.42578125" style="2" customWidth="1"/>
    <col min="858" max="1016" width="1.28515625" style="2" hidden="1"/>
    <col min="1017" max="1017" width="1.140625" style="2" customWidth="1"/>
    <col min="1018" max="1018" width="2.5703125" style="2" customWidth="1"/>
    <col min="1019" max="1019" width="3.85546875" style="2" customWidth="1"/>
    <col min="1020" max="1065" width="1" style="2" customWidth="1"/>
    <col min="1066" max="1080" width="1.140625" style="2" customWidth="1"/>
    <col min="1081" max="1112" width="1" style="2" customWidth="1"/>
    <col min="1113" max="1113" width="0.42578125" style="2" customWidth="1"/>
    <col min="1114" max="1272" width="1.28515625" style="2" hidden="1"/>
    <col min="1273" max="1273" width="1.140625" style="2" customWidth="1"/>
    <col min="1274" max="1274" width="2.5703125" style="2" customWidth="1"/>
    <col min="1275" max="1275" width="3.85546875" style="2" customWidth="1"/>
    <col min="1276" max="1321" width="1" style="2" customWidth="1"/>
    <col min="1322" max="1336" width="1.140625" style="2" customWidth="1"/>
    <col min="1337" max="1368" width="1" style="2" customWidth="1"/>
    <col min="1369" max="1369" width="0.42578125" style="2" customWidth="1"/>
    <col min="1370" max="1528" width="1.28515625" style="2" hidden="1"/>
    <col min="1529" max="1529" width="1.140625" style="2" customWidth="1"/>
    <col min="1530" max="1530" width="2.5703125" style="2" customWidth="1"/>
    <col min="1531" max="1531" width="3.85546875" style="2" customWidth="1"/>
    <col min="1532" max="1577" width="1" style="2" customWidth="1"/>
    <col min="1578" max="1592" width="1.140625" style="2" customWidth="1"/>
    <col min="1593" max="1624" width="1" style="2" customWidth="1"/>
    <col min="1625" max="1625" width="0.42578125" style="2" customWidth="1"/>
    <col min="1626" max="1784" width="1.28515625" style="2" hidden="1"/>
    <col min="1785" max="1785" width="1.140625" style="2" customWidth="1"/>
    <col min="1786" max="1786" width="2.5703125" style="2" customWidth="1"/>
    <col min="1787" max="1787" width="3.85546875" style="2" customWidth="1"/>
    <col min="1788" max="1833" width="1" style="2" customWidth="1"/>
    <col min="1834" max="1848" width="1.140625" style="2" customWidth="1"/>
    <col min="1849" max="1880" width="1" style="2" customWidth="1"/>
    <col min="1881" max="1881" width="0.42578125" style="2" customWidth="1"/>
    <col min="1882" max="2040" width="1.28515625" style="2" hidden="1"/>
    <col min="2041" max="2041" width="1.140625" style="2" customWidth="1"/>
    <col min="2042" max="2042" width="2.5703125" style="2" customWidth="1"/>
    <col min="2043" max="2043" width="3.85546875" style="2" customWidth="1"/>
    <col min="2044" max="2089" width="1" style="2" customWidth="1"/>
    <col min="2090" max="2104" width="1.140625" style="2" customWidth="1"/>
    <col min="2105" max="2136" width="1" style="2" customWidth="1"/>
    <col min="2137" max="2137" width="0.42578125" style="2" customWidth="1"/>
    <col min="2138" max="2296" width="1.28515625" style="2" hidden="1"/>
    <col min="2297" max="2297" width="1.140625" style="2" customWidth="1"/>
    <col min="2298" max="2298" width="2.5703125" style="2" customWidth="1"/>
    <col min="2299" max="2299" width="3.85546875" style="2" customWidth="1"/>
    <col min="2300" max="2345" width="1" style="2" customWidth="1"/>
    <col min="2346" max="2360" width="1.140625" style="2" customWidth="1"/>
    <col min="2361" max="2392" width="1" style="2" customWidth="1"/>
    <col min="2393" max="2393" width="0.42578125" style="2" customWidth="1"/>
    <col min="2394" max="2552" width="1.28515625" style="2" hidden="1"/>
    <col min="2553" max="2553" width="1.140625" style="2" customWidth="1"/>
    <col min="2554" max="2554" width="2.5703125" style="2" customWidth="1"/>
    <col min="2555" max="2555" width="3.85546875" style="2" customWidth="1"/>
    <col min="2556" max="2601" width="1" style="2" customWidth="1"/>
    <col min="2602" max="2616" width="1.140625" style="2" customWidth="1"/>
    <col min="2617" max="2648" width="1" style="2" customWidth="1"/>
    <col min="2649" max="2649" width="0.42578125" style="2" customWidth="1"/>
    <col min="2650" max="2808" width="1.28515625" style="2" hidden="1"/>
    <col min="2809" max="2809" width="1.140625" style="2" customWidth="1"/>
    <col min="2810" max="2810" width="2.5703125" style="2" customWidth="1"/>
    <col min="2811" max="2811" width="3.85546875" style="2" customWidth="1"/>
    <col min="2812" max="2857" width="1" style="2" customWidth="1"/>
    <col min="2858" max="2872" width="1.140625" style="2" customWidth="1"/>
    <col min="2873" max="2904" width="1" style="2" customWidth="1"/>
    <col min="2905" max="2905" width="0.42578125" style="2" customWidth="1"/>
    <col min="2906" max="3064" width="1.28515625" style="2" hidden="1"/>
    <col min="3065" max="3065" width="1.140625" style="2" customWidth="1"/>
    <col min="3066" max="3066" width="2.5703125" style="2" customWidth="1"/>
    <col min="3067" max="3067" width="3.85546875" style="2" customWidth="1"/>
    <col min="3068" max="3113" width="1" style="2" customWidth="1"/>
    <col min="3114" max="3128" width="1.140625" style="2" customWidth="1"/>
    <col min="3129" max="3160" width="1" style="2" customWidth="1"/>
    <col min="3161" max="3161" width="0.42578125" style="2" customWidth="1"/>
    <col min="3162" max="3320" width="1.28515625" style="2" hidden="1"/>
    <col min="3321" max="3321" width="1.140625" style="2" customWidth="1"/>
    <col min="3322" max="3322" width="2.5703125" style="2" customWidth="1"/>
    <col min="3323" max="3323" width="3.85546875" style="2" customWidth="1"/>
    <col min="3324" max="3369" width="1" style="2" customWidth="1"/>
    <col min="3370" max="3384" width="1.140625" style="2" customWidth="1"/>
    <col min="3385" max="3416" width="1" style="2" customWidth="1"/>
    <col min="3417" max="3417" width="0.42578125" style="2" customWidth="1"/>
    <col min="3418" max="3576" width="1.28515625" style="2" hidden="1"/>
    <col min="3577" max="3577" width="1.140625" style="2" customWidth="1"/>
    <col min="3578" max="3578" width="2.5703125" style="2" customWidth="1"/>
    <col min="3579" max="3579" width="3.85546875" style="2" customWidth="1"/>
    <col min="3580" max="3625" width="1" style="2" customWidth="1"/>
    <col min="3626" max="3640" width="1.140625" style="2" customWidth="1"/>
    <col min="3641" max="3672" width="1" style="2" customWidth="1"/>
    <col min="3673" max="3673" width="0.42578125" style="2" customWidth="1"/>
    <col min="3674" max="3832" width="1.28515625" style="2" hidden="1"/>
    <col min="3833" max="3833" width="1.140625" style="2" customWidth="1"/>
    <col min="3834" max="3834" width="2.5703125" style="2" customWidth="1"/>
    <col min="3835" max="3835" width="3.85546875" style="2" customWidth="1"/>
    <col min="3836" max="3881" width="1" style="2" customWidth="1"/>
    <col min="3882" max="3896" width="1.140625" style="2" customWidth="1"/>
    <col min="3897" max="3928" width="1" style="2" customWidth="1"/>
    <col min="3929" max="3929" width="0.42578125" style="2" customWidth="1"/>
    <col min="3930" max="4088" width="1.28515625" style="2" hidden="1"/>
    <col min="4089" max="4089" width="1.140625" style="2" customWidth="1"/>
    <col min="4090" max="4090" width="2.5703125" style="2" customWidth="1"/>
    <col min="4091" max="4091" width="3.85546875" style="2" customWidth="1"/>
    <col min="4092" max="4137" width="1" style="2" customWidth="1"/>
    <col min="4138" max="4152" width="1.140625" style="2" customWidth="1"/>
    <col min="4153" max="4184" width="1" style="2" customWidth="1"/>
    <col min="4185" max="4185" width="0.42578125" style="2" customWidth="1"/>
    <col min="4186" max="4344" width="1.28515625" style="2" hidden="1"/>
    <col min="4345" max="4345" width="1.140625" style="2" customWidth="1"/>
    <col min="4346" max="4346" width="2.5703125" style="2" customWidth="1"/>
    <col min="4347" max="4347" width="3.85546875" style="2" customWidth="1"/>
    <col min="4348" max="4393" width="1" style="2" customWidth="1"/>
    <col min="4394" max="4408" width="1.140625" style="2" customWidth="1"/>
    <col min="4409" max="4440" width="1" style="2" customWidth="1"/>
    <col min="4441" max="4441" width="0.42578125" style="2" customWidth="1"/>
    <col min="4442" max="4600" width="1.28515625" style="2" hidden="1"/>
    <col min="4601" max="4601" width="1.140625" style="2" customWidth="1"/>
    <col min="4602" max="4602" width="2.5703125" style="2" customWidth="1"/>
    <col min="4603" max="4603" width="3.85546875" style="2" customWidth="1"/>
    <col min="4604" max="4649" width="1" style="2" customWidth="1"/>
    <col min="4650" max="4664" width="1.140625" style="2" customWidth="1"/>
    <col min="4665" max="4696" width="1" style="2" customWidth="1"/>
    <col min="4697" max="4697" width="0.42578125" style="2" customWidth="1"/>
    <col min="4698" max="4856" width="1.28515625" style="2" hidden="1"/>
    <col min="4857" max="4857" width="1.140625" style="2" customWidth="1"/>
    <col min="4858" max="4858" width="2.5703125" style="2" customWidth="1"/>
    <col min="4859" max="4859" width="3.85546875" style="2" customWidth="1"/>
    <col min="4860" max="4905" width="1" style="2" customWidth="1"/>
    <col min="4906" max="4920" width="1.140625" style="2" customWidth="1"/>
    <col min="4921" max="4952" width="1" style="2" customWidth="1"/>
    <col min="4953" max="4953" width="0.42578125" style="2" customWidth="1"/>
    <col min="4954" max="5112" width="1.28515625" style="2" hidden="1"/>
    <col min="5113" max="5113" width="1.140625" style="2" customWidth="1"/>
    <col min="5114" max="5114" width="2.5703125" style="2" customWidth="1"/>
    <col min="5115" max="5115" width="3.85546875" style="2" customWidth="1"/>
    <col min="5116" max="5161" width="1" style="2" customWidth="1"/>
    <col min="5162" max="5176" width="1.140625" style="2" customWidth="1"/>
    <col min="5177" max="5208" width="1" style="2" customWidth="1"/>
    <col min="5209" max="5209" width="0.42578125" style="2" customWidth="1"/>
    <col min="5210" max="5368" width="1.28515625" style="2" hidden="1"/>
    <col min="5369" max="5369" width="1.140625" style="2" customWidth="1"/>
    <col min="5370" max="5370" width="2.5703125" style="2" customWidth="1"/>
    <col min="5371" max="5371" width="3.85546875" style="2" customWidth="1"/>
    <col min="5372" max="5417" width="1" style="2" customWidth="1"/>
    <col min="5418" max="5432" width="1.140625" style="2" customWidth="1"/>
    <col min="5433" max="5464" width="1" style="2" customWidth="1"/>
    <col min="5465" max="5465" width="0.42578125" style="2" customWidth="1"/>
    <col min="5466" max="5624" width="1.28515625" style="2" hidden="1"/>
    <col min="5625" max="5625" width="1.140625" style="2" customWidth="1"/>
    <col min="5626" max="5626" width="2.5703125" style="2" customWidth="1"/>
    <col min="5627" max="5627" width="3.85546875" style="2" customWidth="1"/>
    <col min="5628" max="5673" width="1" style="2" customWidth="1"/>
    <col min="5674" max="5688" width="1.140625" style="2" customWidth="1"/>
    <col min="5689" max="5720" width="1" style="2" customWidth="1"/>
    <col min="5721" max="5721" width="0.42578125" style="2" customWidth="1"/>
    <col min="5722" max="5880" width="1.28515625" style="2" hidden="1"/>
    <col min="5881" max="5881" width="1.140625" style="2" customWidth="1"/>
    <col min="5882" max="5882" width="2.5703125" style="2" customWidth="1"/>
    <col min="5883" max="5883" width="3.85546875" style="2" customWidth="1"/>
    <col min="5884" max="5929" width="1" style="2" customWidth="1"/>
    <col min="5930" max="5944" width="1.140625" style="2" customWidth="1"/>
    <col min="5945" max="5976" width="1" style="2" customWidth="1"/>
    <col min="5977" max="5977" width="0.42578125" style="2" customWidth="1"/>
    <col min="5978" max="6136" width="1.28515625" style="2" hidden="1"/>
    <col min="6137" max="6137" width="1.140625" style="2" customWidth="1"/>
    <col min="6138" max="6138" width="2.5703125" style="2" customWidth="1"/>
    <col min="6139" max="6139" width="3.85546875" style="2" customWidth="1"/>
    <col min="6140" max="6185" width="1" style="2" customWidth="1"/>
    <col min="6186" max="6200" width="1.140625" style="2" customWidth="1"/>
    <col min="6201" max="6232" width="1" style="2" customWidth="1"/>
    <col min="6233" max="6233" width="0.42578125" style="2" customWidth="1"/>
    <col min="6234" max="6392" width="1.28515625" style="2" hidden="1"/>
    <col min="6393" max="6393" width="1.140625" style="2" customWidth="1"/>
    <col min="6394" max="6394" width="2.5703125" style="2" customWidth="1"/>
    <col min="6395" max="6395" width="3.85546875" style="2" customWidth="1"/>
    <col min="6396" max="6441" width="1" style="2" customWidth="1"/>
    <col min="6442" max="6456" width="1.140625" style="2" customWidth="1"/>
    <col min="6457" max="6488" width="1" style="2" customWidth="1"/>
    <col min="6489" max="6489" width="0.42578125" style="2" customWidth="1"/>
    <col min="6490" max="6648" width="1.28515625" style="2" hidden="1"/>
    <col min="6649" max="6649" width="1.140625" style="2" customWidth="1"/>
    <col min="6650" max="6650" width="2.5703125" style="2" customWidth="1"/>
    <col min="6651" max="6651" width="3.85546875" style="2" customWidth="1"/>
    <col min="6652" max="6697" width="1" style="2" customWidth="1"/>
    <col min="6698" max="6712" width="1.140625" style="2" customWidth="1"/>
    <col min="6713" max="6744" width="1" style="2" customWidth="1"/>
    <col min="6745" max="6745" width="0.42578125" style="2" customWidth="1"/>
    <col min="6746" max="6904" width="1.28515625" style="2" hidden="1"/>
    <col min="6905" max="6905" width="1.140625" style="2" customWidth="1"/>
    <col min="6906" max="6906" width="2.5703125" style="2" customWidth="1"/>
    <col min="6907" max="6907" width="3.85546875" style="2" customWidth="1"/>
    <col min="6908" max="6953" width="1" style="2" customWidth="1"/>
    <col min="6954" max="6968" width="1.140625" style="2" customWidth="1"/>
    <col min="6969" max="7000" width="1" style="2" customWidth="1"/>
    <col min="7001" max="7001" width="0.42578125" style="2" customWidth="1"/>
    <col min="7002" max="7160" width="1.28515625" style="2" hidden="1"/>
    <col min="7161" max="7161" width="1.140625" style="2" customWidth="1"/>
    <col min="7162" max="7162" width="2.5703125" style="2" customWidth="1"/>
    <col min="7163" max="7163" width="3.85546875" style="2" customWidth="1"/>
    <col min="7164" max="7209" width="1" style="2" customWidth="1"/>
    <col min="7210" max="7224" width="1.140625" style="2" customWidth="1"/>
    <col min="7225" max="7256" width="1" style="2" customWidth="1"/>
    <col min="7257" max="7257" width="0.42578125" style="2" customWidth="1"/>
    <col min="7258" max="7416" width="1.28515625" style="2" hidden="1"/>
    <col min="7417" max="7417" width="1.140625" style="2" customWidth="1"/>
    <col min="7418" max="7418" width="2.5703125" style="2" customWidth="1"/>
    <col min="7419" max="7419" width="3.85546875" style="2" customWidth="1"/>
    <col min="7420" max="7465" width="1" style="2" customWidth="1"/>
    <col min="7466" max="7480" width="1.140625" style="2" customWidth="1"/>
    <col min="7481" max="7512" width="1" style="2" customWidth="1"/>
    <col min="7513" max="7513" width="0.42578125" style="2" customWidth="1"/>
    <col min="7514" max="7672" width="1.28515625" style="2" hidden="1"/>
    <col min="7673" max="7673" width="1.140625" style="2" customWidth="1"/>
    <col min="7674" max="7674" width="2.5703125" style="2" customWidth="1"/>
    <col min="7675" max="7675" width="3.85546875" style="2" customWidth="1"/>
    <col min="7676" max="7721" width="1" style="2" customWidth="1"/>
    <col min="7722" max="7736" width="1.140625" style="2" customWidth="1"/>
    <col min="7737" max="7768" width="1" style="2" customWidth="1"/>
    <col min="7769" max="7769" width="0.42578125" style="2" customWidth="1"/>
    <col min="7770" max="7928" width="1.28515625" style="2" hidden="1"/>
    <col min="7929" max="7929" width="1.140625" style="2" customWidth="1"/>
    <col min="7930" max="7930" width="2.5703125" style="2" customWidth="1"/>
    <col min="7931" max="7931" width="3.85546875" style="2" customWidth="1"/>
    <col min="7932" max="7977" width="1" style="2" customWidth="1"/>
    <col min="7978" max="7992" width="1.140625" style="2" customWidth="1"/>
    <col min="7993" max="8024" width="1" style="2" customWidth="1"/>
    <col min="8025" max="8025" width="0.42578125" style="2" customWidth="1"/>
    <col min="8026" max="8184" width="1.28515625" style="2" hidden="1"/>
    <col min="8185" max="8185" width="1.140625" style="2" customWidth="1"/>
    <col min="8186" max="8186" width="2.5703125" style="2" customWidth="1"/>
    <col min="8187" max="8187" width="3.85546875" style="2" customWidth="1"/>
    <col min="8188" max="8233" width="1" style="2" customWidth="1"/>
    <col min="8234" max="8248" width="1.140625" style="2" customWidth="1"/>
    <col min="8249" max="8280" width="1" style="2" customWidth="1"/>
    <col min="8281" max="8281" width="0.42578125" style="2" customWidth="1"/>
    <col min="8282" max="8440" width="1.28515625" style="2" hidden="1"/>
    <col min="8441" max="8441" width="1.140625" style="2" customWidth="1"/>
    <col min="8442" max="8442" width="2.5703125" style="2" customWidth="1"/>
    <col min="8443" max="8443" width="3.85546875" style="2" customWidth="1"/>
    <col min="8444" max="8489" width="1" style="2" customWidth="1"/>
    <col min="8490" max="8504" width="1.140625" style="2" customWidth="1"/>
    <col min="8505" max="8536" width="1" style="2" customWidth="1"/>
    <col min="8537" max="8537" width="0.42578125" style="2" customWidth="1"/>
    <col min="8538" max="8696" width="1.28515625" style="2" hidden="1"/>
    <col min="8697" max="8697" width="1.140625" style="2" customWidth="1"/>
    <col min="8698" max="8698" width="2.5703125" style="2" customWidth="1"/>
    <col min="8699" max="8699" width="3.85546875" style="2" customWidth="1"/>
    <col min="8700" max="8745" width="1" style="2" customWidth="1"/>
    <col min="8746" max="8760" width="1.140625" style="2" customWidth="1"/>
    <col min="8761" max="8792" width="1" style="2" customWidth="1"/>
    <col min="8793" max="8793" width="0.42578125" style="2" customWidth="1"/>
    <col min="8794" max="8952" width="1.28515625" style="2" hidden="1"/>
    <col min="8953" max="8953" width="1.140625" style="2" customWidth="1"/>
    <col min="8954" max="8954" width="2.5703125" style="2" customWidth="1"/>
    <col min="8955" max="8955" width="3.85546875" style="2" customWidth="1"/>
    <col min="8956" max="9001" width="1" style="2" customWidth="1"/>
    <col min="9002" max="9016" width="1.140625" style="2" customWidth="1"/>
    <col min="9017" max="9048" width="1" style="2" customWidth="1"/>
    <col min="9049" max="9049" width="0.42578125" style="2" customWidth="1"/>
    <col min="9050" max="9208" width="1.28515625" style="2" hidden="1"/>
    <col min="9209" max="9209" width="1.140625" style="2" customWidth="1"/>
    <col min="9210" max="9210" width="2.5703125" style="2" customWidth="1"/>
    <col min="9211" max="9211" width="3.85546875" style="2" customWidth="1"/>
    <col min="9212" max="9257" width="1" style="2" customWidth="1"/>
    <col min="9258" max="9272" width="1.140625" style="2" customWidth="1"/>
    <col min="9273" max="9304" width="1" style="2" customWidth="1"/>
    <col min="9305" max="9305" width="0.42578125" style="2" customWidth="1"/>
    <col min="9306" max="9464" width="1.28515625" style="2" hidden="1"/>
    <col min="9465" max="9465" width="1.140625" style="2" customWidth="1"/>
    <col min="9466" max="9466" width="2.5703125" style="2" customWidth="1"/>
    <col min="9467" max="9467" width="3.85546875" style="2" customWidth="1"/>
    <col min="9468" max="9513" width="1" style="2" customWidth="1"/>
    <col min="9514" max="9528" width="1.140625" style="2" customWidth="1"/>
    <col min="9529" max="9560" width="1" style="2" customWidth="1"/>
    <col min="9561" max="9561" width="0.42578125" style="2" customWidth="1"/>
    <col min="9562" max="9720" width="1.28515625" style="2" hidden="1"/>
    <col min="9721" max="9721" width="1.140625" style="2" customWidth="1"/>
    <col min="9722" max="9722" width="2.5703125" style="2" customWidth="1"/>
    <col min="9723" max="9723" width="3.85546875" style="2" customWidth="1"/>
    <col min="9724" max="9769" width="1" style="2" customWidth="1"/>
    <col min="9770" max="9784" width="1.140625" style="2" customWidth="1"/>
    <col min="9785" max="9816" width="1" style="2" customWidth="1"/>
    <col min="9817" max="9817" width="0.42578125" style="2" customWidth="1"/>
    <col min="9818" max="9976" width="1.28515625" style="2" hidden="1"/>
    <col min="9977" max="9977" width="1.140625" style="2" customWidth="1"/>
    <col min="9978" max="9978" width="2.5703125" style="2" customWidth="1"/>
    <col min="9979" max="9979" width="3.85546875" style="2" customWidth="1"/>
    <col min="9980" max="10025" width="1" style="2" customWidth="1"/>
    <col min="10026" max="10040" width="1.140625" style="2" customWidth="1"/>
    <col min="10041" max="10072" width="1" style="2" customWidth="1"/>
    <col min="10073" max="10073" width="0.42578125" style="2" customWidth="1"/>
    <col min="10074" max="10232" width="1.28515625" style="2" hidden="1"/>
    <col min="10233" max="10233" width="1.140625" style="2" customWidth="1"/>
    <col min="10234" max="10234" width="2.5703125" style="2" customWidth="1"/>
    <col min="10235" max="10235" width="3.85546875" style="2" customWidth="1"/>
    <col min="10236" max="10281" width="1" style="2" customWidth="1"/>
    <col min="10282" max="10296" width="1.140625" style="2" customWidth="1"/>
    <col min="10297" max="10328" width="1" style="2" customWidth="1"/>
    <col min="10329" max="10329" width="0.42578125" style="2" customWidth="1"/>
    <col min="10330" max="10488" width="1.28515625" style="2" hidden="1"/>
    <col min="10489" max="10489" width="1.140625" style="2" customWidth="1"/>
    <col min="10490" max="10490" width="2.5703125" style="2" customWidth="1"/>
    <col min="10491" max="10491" width="3.85546875" style="2" customWidth="1"/>
    <col min="10492" max="10537" width="1" style="2" customWidth="1"/>
    <col min="10538" max="10552" width="1.140625" style="2" customWidth="1"/>
    <col min="10553" max="10584" width="1" style="2" customWidth="1"/>
    <col min="10585" max="10585" width="0.42578125" style="2" customWidth="1"/>
    <col min="10586" max="10744" width="1.28515625" style="2" hidden="1"/>
    <col min="10745" max="10745" width="1.140625" style="2" customWidth="1"/>
    <col min="10746" max="10746" width="2.5703125" style="2" customWidth="1"/>
    <col min="10747" max="10747" width="3.85546875" style="2" customWidth="1"/>
    <col min="10748" max="10793" width="1" style="2" customWidth="1"/>
    <col min="10794" max="10808" width="1.140625" style="2" customWidth="1"/>
    <col min="10809" max="10840" width="1" style="2" customWidth="1"/>
    <col min="10841" max="10841" width="0.42578125" style="2" customWidth="1"/>
    <col min="10842" max="11000" width="1.28515625" style="2" hidden="1"/>
    <col min="11001" max="11001" width="1.140625" style="2" customWidth="1"/>
    <col min="11002" max="11002" width="2.5703125" style="2" customWidth="1"/>
    <col min="11003" max="11003" width="3.85546875" style="2" customWidth="1"/>
    <col min="11004" max="11049" width="1" style="2" customWidth="1"/>
    <col min="11050" max="11064" width="1.140625" style="2" customWidth="1"/>
    <col min="11065" max="11096" width="1" style="2" customWidth="1"/>
    <col min="11097" max="11097" width="0.42578125" style="2" customWidth="1"/>
    <col min="11098" max="11256" width="1.28515625" style="2" hidden="1"/>
    <col min="11257" max="11257" width="1.140625" style="2" customWidth="1"/>
    <col min="11258" max="11258" width="2.5703125" style="2" customWidth="1"/>
    <col min="11259" max="11259" width="3.85546875" style="2" customWidth="1"/>
    <col min="11260" max="11305" width="1" style="2" customWidth="1"/>
    <col min="11306" max="11320" width="1.140625" style="2" customWidth="1"/>
    <col min="11321" max="11352" width="1" style="2" customWidth="1"/>
    <col min="11353" max="11353" width="0.42578125" style="2" customWidth="1"/>
    <col min="11354" max="11512" width="1.28515625" style="2" hidden="1"/>
    <col min="11513" max="11513" width="1.140625" style="2" customWidth="1"/>
    <col min="11514" max="11514" width="2.5703125" style="2" customWidth="1"/>
    <col min="11515" max="11515" width="3.85546875" style="2" customWidth="1"/>
    <col min="11516" max="11561" width="1" style="2" customWidth="1"/>
    <col min="11562" max="11576" width="1.140625" style="2" customWidth="1"/>
    <col min="11577" max="11608" width="1" style="2" customWidth="1"/>
    <col min="11609" max="11609" width="0.42578125" style="2" customWidth="1"/>
    <col min="11610" max="11768" width="1.28515625" style="2" hidden="1"/>
    <col min="11769" max="11769" width="1.140625" style="2" customWidth="1"/>
    <col min="11770" max="11770" width="2.5703125" style="2" customWidth="1"/>
    <col min="11771" max="11771" width="3.85546875" style="2" customWidth="1"/>
    <col min="11772" max="11817" width="1" style="2" customWidth="1"/>
    <col min="11818" max="11832" width="1.140625" style="2" customWidth="1"/>
    <col min="11833" max="11864" width="1" style="2" customWidth="1"/>
    <col min="11865" max="11865" width="0.42578125" style="2" customWidth="1"/>
    <col min="11866" max="12024" width="1.28515625" style="2" hidden="1"/>
    <col min="12025" max="12025" width="1.140625" style="2" customWidth="1"/>
    <col min="12026" max="12026" width="2.5703125" style="2" customWidth="1"/>
    <col min="12027" max="12027" width="3.85546875" style="2" customWidth="1"/>
    <col min="12028" max="12073" width="1" style="2" customWidth="1"/>
    <col min="12074" max="12088" width="1.140625" style="2" customWidth="1"/>
    <col min="12089" max="12120" width="1" style="2" customWidth="1"/>
    <col min="12121" max="12121" width="0.42578125" style="2" customWidth="1"/>
    <col min="12122" max="12280" width="1.28515625" style="2" hidden="1"/>
    <col min="12281" max="12281" width="1.140625" style="2" customWidth="1"/>
    <col min="12282" max="12282" width="2.5703125" style="2" customWidth="1"/>
    <col min="12283" max="12283" width="3.85546875" style="2" customWidth="1"/>
    <col min="12284" max="12329" width="1" style="2" customWidth="1"/>
    <col min="12330" max="12344" width="1.140625" style="2" customWidth="1"/>
    <col min="12345" max="12376" width="1" style="2" customWidth="1"/>
    <col min="12377" max="12377" width="0.42578125" style="2" customWidth="1"/>
    <col min="12378" max="12536" width="1.28515625" style="2" hidden="1"/>
    <col min="12537" max="12537" width="1.140625" style="2" customWidth="1"/>
    <col min="12538" max="12538" width="2.5703125" style="2" customWidth="1"/>
    <col min="12539" max="12539" width="3.85546875" style="2" customWidth="1"/>
    <col min="12540" max="12585" width="1" style="2" customWidth="1"/>
    <col min="12586" max="12600" width="1.140625" style="2" customWidth="1"/>
    <col min="12601" max="12632" width="1" style="2" customWidth="1"/>
    <col min="12633" max="12633" width="0.42578125" style="2" customWidth="1"/>
    <col min="12634" max="12792" width="1.28515625" style="2" hidden="1"/>
    <col min="12793" max="12793" width="1.140625" style="2" customWidth="1"/>
    <col min="12794" max="12794" width="2.5703125" style="2" customWidth="1"/>
    <col min="12795" max="12795" width="3.85546875" style="2" customWidth="1"/>
    <col min="12796" max="12841" width="1" style="2" customWidth="1"/>
    <col min="12842" max="12856" width="1.140625" style="2" customWidth="1"/>
    <col min="12857" max="12888" width="1" style="2" customWidth="1"/>
    <col min="12889" max="12889" width="0.42578125" style="2" customWidth="1"/>
    <col min="12890" max="13048" width="1.28515625" style="2" hidden="1"/>
    <col min="13049" max="13049" width="1.140625" style="2" customWidth="1"/>
    <col min="13050" max="13050" width="2.5703125" style="2" customWidth="1"/>
    <col min="13051" max="13051" width="3.85546875" style="2" customWidth="1"/>
    <col min="13052" max="13097" width="1" style="2" customWidth="1"/>
    <col min="13098" max="13112" width="1.140625" style="2" customWidth="1"/>
    <col min="13113" max="13144" width="1" style="2" customWidth="1"/>
    <col min="13145" max="13145" width="0.42578125" style="2" customWidth="1"/>
    <col min="13146" max="13304" width="1.28515625" style="2" hidden="1"/>
    <col min="13305" max="13305" width="1.140625" style="2" customWidth="1"/>
    <col min="13306" max="13306" width="2.5703125" style="2" customWidth="1"/>
    <col min="13307" max="13307" width="3.85546875" style="2" customWidth="1"/>
    <col min="13308" max="13353" width="1" style="2" customWidth="1"/>
    <col min="13354" max="13368" width="1.140625" style="2" customWidth="1"/>
    <col min="13369" max="13400" width="1" style="2" customWidth="1"/>
    <col min="13401" max="13401" width="0.42578125" style="2" customWidth="1"/>
    <col min="13402" max="13560" width="1.28515625" style="2" hidden="1"/>
    <col min="13561" max="13561" width="1.140625" style="2" customWidth="1"/>
    <col min="13562" max="13562" width="2.5703125" style="2" customWidth="1"/>
    <col min="13563" max="13563" width="3.85546875" style="2" customWidth="1"/>
    <col min="13564" max="13609" width="1" style="2" customWidth="1"/>
    <col min="13610" max="13624" width="1.140625" style="2" customWidth="1"/>
    <col min="13625" max="13656" width="1" style="2" customWidth="1"/>
    <col min="13657" max="13657" width="0.42578125" style="2" customWidth="1"/>
    <col min="13658" max="13816" width="1.28515625" style="2" hidden="1"/>
    <col min="13817" max="13817" width="1.140625" style="2" customWidth="1"/>
    <col min="13818" max="13818" width="2.5703125" style="2" customWidth="1"/>
    <col min="13819" max="13819" width="3.85546875" style="2" customWidth="1"/>
    <col min="13820" max="13865" width="1" style="2" customWidth="1"/>
    <col min="13866" max="13880" width="1.140625" style="2" customWidth="1"/>
    <col min="13881" max="13912" width="1" style="2" customWidth="1"/>
    <col min="13913" max="13913" width="0.42578125" style="2" customWidth="1"/>
    <col min="13914" max="14072" width="1.28515625" style="2" hidden="1"/>
    <col min="14073" max="14073" width="1.140625" style="2" customWidth="1"/>
    <col min="14074" max="14074" width="2.5703125" style="2" customWidth="1"/>
    <col min="14075" max="14075" width="3.85546875" style="2" customWidth="1"/>
    <col min="14076" max="14121" width="1" style="2" customWidth="1"/>
    <col min="14122" max="14136" width="1.140625" style="2" customWidth="1"/>
    <col min="14137" max="14168" width="1" style="2" customWidth="1"/>
    <col min="14169" max="14169" width="0.42578125" style="2" customWidth="1"/>
    <col min="14170" max="14328" width="1.28515625" style="2" hidden="1"/>
    <col min="14329" max="14329" width="1.140625" style="2" customWidth="1"/>
    <col min="14330" max="14330" width="2.5703125" style="2" customWidth="1"/>
    <col min="14331" max="14331" width="3.85546875" style="2" customWidth="1"/>
    <col min="14332" max="14377" width="1" style="2" customWidth="1"/>
    <col min="14378" max="14392" width="1.140625" style="2" customWidth="1"/>
    <col min="14393" max="14424" width="1" style="2" customWidth="1"/>
    <col min="14425" max="14425" width="0.42578125" style="2" customWidth="1"/>
    <col min="14426" max="14584" width="1.28515625" style="2" hidden="1"/>
    <col min="14585" max="14585" width="1.140625" style="2" customWidth="1"/>
    <col min="14586" max="14586" width="2.5703125" style="2" customWidth="1"/>
    <col min="14587" max="14587" width="3.85546875" style="2" customWidth="1"/>
    <col min="14588" max="14633" width="1" style="2" customWidth="1"/>
    <col min="14634" max="14648" width="1.140625" style="2" customWidth="1"/>
    <col min="14649" max="14680" width="1" style="2" customWidth="1"/>
    <col min="14681" max="14681" width="0.42578125" style="2" customWidth="1"/>
    <col min="14682" max="14840" width="1.28515625" style="2" hidden="1"/>
    <col min="14841" max="14841" width="1.140625" style="2" customWidth="1"/>
    <col min="14842" max="14842" width="2.5703125" style="2" customWidth="1"/>
    <col min="14843" max="14843" width="3.85546875" style="2" customWidth="1"/>
    <col min="14844" max="14889" width="1" style="2" customWidth="1"/>
    <col min="14890" max="14904" width="1.140625" style="2" customWidth="1"/>
    <col min="14905" max="14936" width="1" style="2" customWidth="1"/>
    <col min="14937" max="14937" width="0.42578125" style="2" customWidth="1"/>
    <col min="14938" max="15096" width="1.28515625" style="2" hidden="1"/>
    <col min="15097" max="15097" width="1.140625" style="2" customWidth="1"/>
    <col min="15098" max="15098" width="2.5703125" style="2" customWidth="1"/>
    <col min="15099" max="15099" width="3.85546875" style="2" customWidth="1"/>
    <col min="15100" max="15145" width="1" style="2" customWidth="1"/>
    <col min="15146" max="15160" width="1.140625" style="2" customWidth="1"/>
    <col min="15161" max="15192" width="1" style="2" customWidth="1"/>
    <col min="15193" max="15193" width="0.42578125" style="2" customWidth="1"/>
    <col min="15194" max="15352" width="1.28515625" style="2" hidden="1"/>
    <col min="15353" max="15353" width="1.140625" style="2" customWidth="1"/>
    <col min="15354" max="15354" width="2.5703125" style="2" customWidth="1"/>
    <col min="15355" max="15355" width="3.85546875" style="2" customWidth="1"/>
    <col min="15356" max="15401" width="1" style="2" customWidth="1"/>
    <col min="15402" max="15416" width="1.140625" style="2" customWidth="1"/>
    <col min="15417" max="15448" width="1" style="2" customWidth="1"/>
    <col min="15449" max="15449" width="0.42578125" style="2" customWidth="1"/>
    <col min="15450" max="15608" width="1.28515625" style="2" hidden="1"/>
    <col min="15609" max="15609" width="1.140625" style="2" customWidth="1"/>
    <col min="15610" max="15610" width="2.5703125" style="2" customWidth="1"/>
    <col min="15611" max="15611" width="3.85546875" style="2" customWidth="1"/>
    <col min="15612" max="15657" width="1" style="2" customWidth="1"/>
    <col min="15658" max="15672" width="1.140625" style="2" customWidth="1"/>
    <col min="15673" max="15704" width="1" style="2" customWidth="1"/>
    <col min="15705" max="15705" width="0.42578125" style="2" customWidth="1"/>
    <col min="15706" max="15864" width="1.28515625" style="2" hidden="1"/>
    <col min="15865" max="15865" width="1.140625" style="2" customWidth="1"/>
    <col min="15866" max="15866" width="2.5703125" style="2" customWidth="1"/>
    <col min="15867" max="15867" width="3.85546875" style="2" customWidth="1"/>
    <col min="15868" max="15913" width="1" style="2" customWidth="1"/>
    <col min="15914" max="15928" width="1.140625" style="2" customWidth="1"/>
    <col min="15929" max="15960" width="1" style="2" customWidth="1"/>
    <col min="15961" max="15961" width="0.42578125" style="2" customWidth="1"/>
    <col min="15962" max="16226" width="0" style="2" hidden="1"/>
    <col min="16227" max="16384" width="1.28515625" style="2" hidden="1"/>
  </cols>
  <sheetData>
    <row r="1" spans="1:20" ht="54" customHeight="1" thickBot="1">
      <c r="A1" s="1"/>
      <c r="B1" s="20"/>
      <c r="C1" s="20"/>
      <c r="D1" s="97" t="s">
        <v>14</v>
      </c>
      <c r="E1" s="98"/>
      <c r="F1" s="98"/>
      <c r="G1" s="99"/>
      <c r="H1" s="71" t="s">
        <v>11</v>
      </c>
      <c r="I1" s="72"/>
      <c r="J1" s="72"/>
      <c r="K1" s="72"/>
      <c r="L1" s="72"/>
      <c r="M1" s="73"/>
      <c r="N1" s="81" t="s">
        <v>15</v>
      </c>
      <c r="O1" s="82"/>
      <c r="P1" s="82"/>
      <c r="Q1" s="82"/>
      <c r="R1" s="83"/>
      <c r="S1" s="84" t="s">
        <v>16</v>
      </c>
      <c r="T1" s="85"/>
    </row>
    <row r="2" spans="1:20" ht="24.75" customHeight="1">
      <c r="A2" s="1"/>
      <c r="B2" s="20"/>
      <c r="C2" s="20"/>
      <c r="D2" s="121">
        <f>Таблица!A11</f>
        <v>0</v>
      </c>
      <c r="E2" s="122"/>
      <c r="F2" s="122"/>
      <c r="G2" s="122"/>
      <c r="H2" s="49">
        <f>Таблица!B11</f>
        <v>0</v>
      </c>
      <c r="I2" s="50"/>
      <c r="J2" s="50"/>
      <c r="K2" s="50"/>
      <c r="L2" s="50"/>
      <c r="M2" s="51"/>
      <c r="N2" s="49">
        <f>Таблица!C11</f>
        <v>0</v>
      </c>
      <c r="O2" s="50"/>
      <c r="P2" s="50"/>
      <c r="Q2" s="50"/>
      <c r="R2" s="51"/>
      <c r="S2" s="52">
        <f>Таблица!D11</f>
        <v>0</v>
      </c>
      <c r="T2" s="53"/>
    </row>
    <row r="3" spans="1:20" ht="24.75" customHeight="1">
      <c r="A3" s="1"/>
      <c r="B3" s="20"/>
      <c r="C3" s="20"/>
      <c r="D3" s="54">
        <f>Таблица!A12</f>
        <v>0</v>
      </c>
      <c r="E3" s="40"/>
      <c r="F3" s="40"/>
      <c r="G3" s="41"/>
      <c r="H3" s="54">
        <f>Таблица!B12</f>
        <v>0</v>
      </c>
      <c r="I3" s="40"/>
      <c r="J3" s="40"/>
      <c r="K3" s="40"/>
      <c r="L3" s="40"/>
      <c r="M3" s="41"/>
      <c r="N3" s="54">
        <f>Таблица!C12</f>
        <v>0</v>
      </c>
      <c r="O3" s="40"/>
      <c r="P3" s="40"/>
      <c r="Q3" s="40"/>
      <c r="R3" s="41"/>
      <c r="S3" s="55">
        <f>Таблица!D12</f>
        <v>0</v>
      </c>
      <c r="T3" s="43"/>
    </row>
    <row r="4" spans="1:20" ht="24.75" customHeight="1">
      <c r="A4" s="1"/>
      <c r="B4" s="20"/>
      <c r="C4" s="20"/>
      <c r="D4" s="54">
        <f>Таблица!A13</f>
        <v>0</v>
      </c>
      <c r="E4" s="40"/>
      <c r="F4" s="40"/>
      <c r="G4" s="41"/>
      <c r="H4" s="39">
        <f>Таблица!B13</f>
        <v>0</v>
      </c>
      <c r="I4" s="40"/>
      <c r="J4" s="40"/>
      <c r="K4" s="40"/>
      <c r="L4" s="40"/>
      <c r="M4" s="41"/>
      <c r="N4" s="39">
        <f>Таблица!C13</f>
        <v>0</v>
      </c>
      <c r="O4" s="40"/>
      <c r="P4" s="40"/>
      <c r="Q4" s="40"/>
      <c r="R4" s="41"/>
      <c r="S4" s="42">
        <f>Таблица!D13</f>
        <v>0</v>
      </c>
      <c r="T4" s="43"/>
    </row>
    <row r="5" spans="1:20" ht="24.75" customHeight="1">
      <c r="A5" s="1"/>
      <c r="B5" s="20"/>
      <c r="C5" s="20"/>
      <c r="D5" s="54">
        <f>Таблица!A14</f>
        <v>0</v>
      </c>
      <c r="E5" s="40"/>
      <c r="F5" s="40"/>
      <c r="G5" s="41"/>
      <c r="H5" s="39">
        <f>Таблица!B14</f>
        <v>0</v>
      </c>
      <c r="I5" s="40"/>
      <c r="J5" s="40"/>
      <c r="K5" s="40"/>
      <c r="L5" s="40"/>
      <c r="M5" s="41"/>
      <c r="N5" s="39">
        <f>Таблица!C14</f>
        <v>0</v>
      </c>
      <c r="O5" s="40"/>
      <c r="P5" s="40"/>
      <c r="Q5" s="40"/>
      <c r="R5" s="41"/>
      <c r="S5" s="42">
        <f>Таблица!D14</f>
        <v>0</v>
      </c>
      <c r="T5" s="43"/>
    </row>
    <row r="6" spans="1:20" ht="24.75" customHeight="1">
      <c r="A6" s="1"/>
      <c r="B6" s="20"/>
      <c r="C6" s="20"/>
      <c r="D6" s="54">
        <f>Таблица!A15</f>
        <v>0</v>
      </c>
      <c r="E6" s="40"/>
      <c r="F6" s="40"/>
      <c r="G6" s="41"/>
      <c r="H6" s="39">
        <f>Таблица!B15</f>
        <v>0</v>
      </c>
      <c r="I6" s="40"/>
      <c r="J6" s="40"/>
      <c r="K6" s="40"/>
      <c r="L6" s="40"/>
      <c r="M6" s="41"/>
      <c r="N6" s="39">
        <f>Таблица!C15</f>
        <v>0</v>
      </c>
      <c r="O6" s="40"/>
      <c r="P6" s="40"/>
      <c r="Q6" s="40"/>
      <c r="R6" s="41"/>
      <c r="S6" s="42">
        <f>Таблица!D15</f>
        <v>0</v>
      </c>
      <c r="T6" s="43"/>
    </row>
    <row r="7" spans="1:20" ht="24.75" customHeight="1">
      <c r="A7" s="1"/>
      <c r="B7" s="20"/>
      <c r="C7" s="20"/>
      <c r="D7" s="54">
        <f>Таблица!A16</f>
        <v>0</v>
      </c>
      <c r="E7" s="40"/>
      <c r="F7" s="40"/>
      <c r="G7" s="41"/>
      <c r="H7" s="39">
        <f>Таблица!B16</f>
        <v>0</v>
      </c>
      <c r="I7" s="40"/>
      <c r="J7" s="40"/>
      <c r="K7" s="40"/>
      <c r="L7" s="40"/>
      <c r="M7" s="41"/>
      <c r="N7" s="39">
        <f>Таблица!C16</f>
        <v>0</v>
      </c>
      <c r="O7" s="40"/>
      <c r="P7" s="40"/>
      <c r="Q7" s="40"/>
      <c r="R7" s="41"/>
      <c r="S7" s="42">
        <f>Таблица!D16</f>
        <v>0</v>
      </c>
      <c r="T7" s="43"/>
    </row>
    <row r="8" spans="1:20" ht="24.75" customHeight="1">
      <c r="A8" s="1"/>
      <c r="B8" s="20"/>
      <c r="C8" s="20"/>
      <c r="D8" s="54">
        <f>Таблица!A17</f>
        <v>0</v>
      </c>
      <c r="E8" s="40"/>
      <c r="F8" s="40"/>
      <c r="G8" s="41"/>
      <c r="H8" s="39">
        <f>Таблица!B17</f>
        <v>0</v>
      </c>
      <c r="I8" s="40"/>
      <c r="J8" s="40"/>
      <c r="K8" s="40"/>
      <c r="L8" s="40"/>
      <c r="M8" s="41"/>
      <c r="N8" s="39">
        <f>Таблица!C17</f>
        <v>0</v>
      </c>
      <c r="O8" s="40"/>
      <c r="P8" s="40"/>
      <c r="Q8" s="40"/>
      <c r="R8" s="41"/>
      <c r="S8" s="42">
        <f>Таблица!D17</f>
        <v>0</v>
      </c>
      <c r="T8" s="43"/>
    </row>
    <row r="9" spans="1:20" ht="24.75" customHeight="1">
      <c r="A9" s="1"/>
      <c r="B9" s="20"/>
      <c r="C9" s="20"/>
      <c r="D9" s="54">
        <f>Таблица!A18</f>
        <v>0</v>
      </c>
      <c r="E9" s="40"/>
      <c r="F9" s="40"/>
      <c r="G9" s="41"/>
      <c r="H9" s="39">
        <f>Таблица!B18</f>
        <v>0</v>
      </c>
      <c r="I9" s="40"/>
      <c r="J9" s="40"/>
      <c r="K9" s="40"/>
      <c r="L9" s="40"/>
      <c r="M9" s="41"/>
      <c r="N9" s="39">
        <f>Таблица!C18</f>
        <v>0</v>
      </c>
      <c r="O9" s="40"/>
      <c r="P9" s="40"/>
      <c r="Q9" s="40"/>
      <c r="R9" s="41"/>
      <c r="S9" s="42">
        <f>Таблица!D18</f>
        <v>0</v>
      </c>
      <c r="T9" s="43"/>
    </row>
    <row r="10" spans="1:20" ht="24.75" customHeight="1">
      <c r="A10" s="1"/>
      <c r="B10" s="20"/>
      <c r="C10" s="20"/>
      <c r="D10" s="54">
        <f>Таблица!A19</f>
        <v>0</v>
      </c>
      <c r="E10" s="40"/>
      <c r="F10" s="40"/>
      <c r="G10" s="41"/>
      <c r="H10" s="39">
        <f>Таблица!B19</f>
        <v>0</v>
      </c>
      <c r="I10" s="40"/>
      <c r="J10" s="40"/>
      <c r="K10" s="40"/>
      <c r="L10" s="40"/>
      <c r="M10" s="41"/>
      <c r="N10" s="39">
        <f>Таблица!C19</f>
        <v>0</v>
      </c>
      <c r="O10" s="40"/>
      <c r="P10" s="40"/>
      <c r="Q10" s="40"/>
      <c r="R10" s="41"/>
      <c r="S10" s="42">
        <f>Таблица!D19</f>
        <v>0</v>
      </c>
      <c r="T10" s="43"/>
    </row>
    <row r="11" spans="1:20" ht="24.75" customHeight="1">
      <c r="A11" s="1"/>
      <c r="B11" s="20"/>
      <c r="C11" s="20"/>
      <c r="D11" s="54">
        <f>Таблица!A20</f>
        <v>0</v>
      </c>
      <c r="E11" s="40"/>
      <c r="F11" s="40"/>
      <c r="G11" s="41"/>
      <c r="H11" s="39">
        <f>Таблица!B20</f>
        <v>0</v>
      </c>
      <c r="I11" s="40"/>
      <c r="J11" s="40"/>
      <c r="K11" s="40"/>
      <c r="L11" s="40"/>
      <c r="M11" s="41"/>
      <c r="N11" s="39">
        <f>Таблица!C20</f>
        <v>0</v>
      </c>
      <c r="O11" s="40"/>
      <c r="P11" s="40"/>
      <c r="Q11" s="40"/>
      <c r="R11" s="41"/>
      <c r="S11" s="42">
        <f>Таблица!D20</f>
        <v>0</v>
      </c>
      <c r="T11" s="43"/>
    </row>
    <row r="12" spans="1:20" ht="24.75" customHeight="1">
      <c r="A12" s="1"/>
      <c r="B12" s="20"/>
      <c r="C12" s="20"/>
      <c r="D12" s="54">
        <f>Таблица!A21</f>
        <v>0</v>
      </c>
      <c r="E12" s="40"/>
      <c r="F12" s="40"/>
      <c r="G12" s="41"/>
      <c r="H12" s="39">
        <f>Таблица!B21</f>
        <v>0</v>
      </c>
      <c r="I12" s="40"/>
      <c r="J12" s="40"/>
      <c r="K12" s="40"/>
      <c r="L12" s="40"/>
      <c r="M12" s="41"/>
      <c r="N12" s="39">
        <f>Таблица!C21</f>
        <v>0</v>
      </c>
      <c r="O12" s="40"/>
      <c r="P12" s="40"/>
      <c r="Q12" s="40"/>
      <c r="R12" s="41"/>
      <c r="S12" s="42">
        <f>Таблица!D21</f>
        <v>0</v>
      </c>
      <c r="T12" s="43"/>
    </row>
    <row r="13" spans="1:20" ht="24.75" customHeight="1">
      <c r="A13" s="1"/>
      <c r="B13" s="20"/>
      <c r="C13" s="20"/>
      <c r="D13" s="54">
        <f>Таблица!A22</f>
        <v>0</v>
      </c>
      <c r="E13" s="40"/>
      <c r="F13" s="40"/>
      <c r="G13" s="41"/>
      <c r="H13" s="39">
        <f>Таблица!B22</f>
        <v>0</v>
      </c>
      <c r="I13" s="40"/>
      <c r="J13" s="40"/>
      <c r="K13" s="40"/>
      <c r="L13" s="40"/>
      <c r="M13" s="41"/>
      <c r="N13" s="39">
        <f>Таблица!C22</f>
        <v>0</v>
      </c>
      <c r="O13" s="40"/>
      <c r="P13" s="40"/>
      <c r="Q13" s="40"/>
      <c r="R13" s="41"/>
      <c r="S13" s="42">
        <f>Таблица!D22</f>
        <v>0</v>
      </c>
      <c r="T13" s="43"/>
    </row>
    <row r="14" spans="1:20" ht="24.75" customHeight="1">
      <c r="A14" s="1"/>
      <c r="B14" s="20"/>
      <c r="C14" s="20"/>
      <c r="D14" s="54">
        <f>Таблица!A23</f>
        <v>0</v>
      </c>
      <c r="E14" s="40"/>
      <c r="F14" s="40"/>
      <c r="G14" s="41"/>
      <c r="H14" s="39">
        <f>Таблица!B23</f>
        <v>0</v>
      </c>
      <c r="I14" s="40"/>
      <c r="J14" s="40"/>
      <c r="K14" s="40"/>
      <c r="L14" s="40"/>
      <c r="M14" s="41"/>
      <c r="N14" s="39">
        <f>Таблица!C23</f>
        <v>0</v>
      </c>
      <c r="O14" s="40"/>
      <c r="P14" s="40"/>
      <c r="Q14" s="40"/>
      <c r="R14" s="41"/>
      <c r="S14" s="42">
        <f>Таблица!D23</f>
        <v>0</v>
      </c>
      <c r="T14" s="43"/>
    </row>
    <row r="15" spans="1:20" ht="24.75" customHeight="1">
      <c r="A15" s="1"/>
      <c r="B15" s="20"/>
      <c r="C15" s="20"/>
      <c r="D15" s="54">
        <f>Таблица!A24</f>
        <v>0</v>
      </c>
      <c r="E15" s="40"/>
      <c r="F15" s="40"/>
      <c r="G15" s="41"/>
      <c r="H15" s="39">
        <f>Таблица!B24</f>
        <v>0</v>
      </c>
      <c r="I15" s="40"/>
      <c r="J15" s="40"/>
      <c r="K15" s="40"/>
      <c r="L15" s="40"/>
      <c r="M15" s="41"/>
      <c r="N15" s="39">
        <f>Таблица!C24</f>
        <v>0</v>
      </c>
      <c r="O15" s="40"/>
      <c r="P15" s="40"/>
      <c r="Q15" s="40"/>
      <c r="R15" s="41"/>
      <c r="S15" s="42">
        <f>Таблица!D24</f>
        <v>0</v>
      </c>
      <c r="T15" s="43"/>
    </row>
    <row r="16" spans="1:20" ht="24.75" customHeight="1" thickBot="1">
      <c r="B16" s="7"/>
      <c r="C16" s="7"/>
      <c r="D16" s="54">
        <f>Таблица!A25</f>
        <v>0</v>
      </c>
      <c r="E16" s="40"/>
      <c r="F16" s="40"/>
      <c r="G16" s="41"/>
      <c r="H16" s="39">
        <f>Таблица!B25</f>
        <v>0</v>
      </c>
      <c r="I16" s="40"/>
      <c r="J16" s="40"/>
      <c r="K16" s="40"/>
      <c r="L16" s="40"/>
      <c r="M16" s="41"/>
      <c r="N16" s="39">
        <f>Таблица!C25</f>
        <v>0</v>
      </c>
      <c r="O16" s="40"/>
      <c r="P16" s="40"/>
      <c r="Q16" s="40"/>
      <c r="R16" s="41"/>
      <c r="S16" s="42">
        <f>Таблица!D25</f>
        <v>0</v>
      </c>
      <c r="T16" s="43"/>
    </row>
    <row r="17" spans="2:20" ht="24.75" customHeight="1">
      <c r="B17" s="100" t="s">
        <v>17</v>
      </c>
      <c r="C17" s="118"/>
      <c r="D17" s="54">
        <f>Таблица!A26</f>
        <v>0</v>
      </c>
      <c r="E17" s="40"/>
      <c r="F17" s="40"/>
      <c r="G17" s="41"/>
      <c r="H17" s="39">
        <f>Таблица!B26</f>
        <v>0</v>
      </c>
      <c r="I17" s="40"/>
      <c r="J17" s="40"/>
      <c r="K17" s="40"/>
      <c r="L17" s="40"/>
      <c r="M17" s="41"/>
      <c r="N17" s="39">
        <f>Таблица!C26</f>
        <v>0</v>
      </c>
      <c r="O17" s="40"/>
      <c r="P17" s="40"/>
      <c r="Q17" s="40"/>
      <c r="R17" s="41"/>
      <c r="S17" s="42">
        <f>Таблица!D26</f>
        <v>0</v>
      </c>
      <c r="T17" s="43"/>
    </row>
    <row r="18" spans="2:20" ht="24.75" customHeight="1">
      <c r="B18" s="101"/>
      <c r="C18" s="119"/>
      <c r="D18" s="54">
        <f>Таблица!A27</f>
        <v>0</v>
      </c>
      <c r="E18" s="40"/>
      <c r="F18" s="40"/>
      <c r="G18" s="41"/>
      <c r="H18" s="39">
        <f>Таблица!B27</f>
        <v>0</v>
      </c>
      <c r="I18" s="40"/>
      <c r="J18" s="40"/>
      <c r="K18" s="40"/>
      <c r="L18" s="40"/>
      <c r="M18" s="41"/>
      <c r="N18" s="39">
        <f>Таблица!C27</f>
        <v>0</v>
      </c>
      <c r="O18" s="40"/>
      <c r="P18" s="40"/>
      <c r="Q18" s="40"/>
      <c r="R18" s="41"/>
      <c r="S18" s="42">
        <f>Таблица!D27</f>
        <v>0</v>
      </c>
      <c r="T18" s="43"/>
    </row>
    <row r="19" spans="2:20" ht="24.75" customHeight="1">
      <c r="B19" s="101"/>
      <c r="C19" s="119"/>
      <c r="D19" s="54">
        <f>Таблица!A28</f>
        <v>0</v>
      </c>
      <c r="E19" s="95"/>
      <c r="F19" s="95"/>
      <c r="G19" s="96"/>
      <c r="H19" s="39">
        <f>Таблица!B28</f>
        <v>0</v>
      </c>
      <c r="I19" s="40"/>
      <c r="J19" s="40"/>
      <c r="K19" s="40"/>
      <c r="L19" s="40"/>
      <c r="M19" s="41"/>
      <c r="N19" s="39">
        <f>Таблица!C28</f>
        <v>0</v>
      </c>
      <c r="O19" s="40"/>
      <c r="P19" s="40"/>
      <c r="Q19" s="40"/>
      <c r="R19" s="41"/>
      <c r="S19" s="42">
        <f>Таблица!D28</f>
        <v>0</v>
      </c>
      <c r="T19" s="43"/>
    </row>
    <row r="20" spans="2:20" ht="24.75" customHeight="1">
      <c r="B20" s="101"/>
      <c r="C20" s="119"/>
      <c r="D20" s="54">
        <f>Таблица!A29</f>
        <v>0</v>
      </c>
      <c r="E20" s="95"/>
      <c r="F20" s="95"/>
      <c r="G20" s="96"/>
      <c r="H20" s="39">
        <f>Таблица!B29</f>
        <v>0</v>
      </c>
      <c r="I20" s="40"/>
      <c r="J20" s="40"/>
      <c r="K20" s="40"/>
      <c r="L20" s="40"/>
      <c r="M20" s="41"/>
      <c r="N20" s="39">
        <f>Таблица!C29</f>
        <v>0</v>
      </c>
      <c r="O20" s="40"/>
      <c r="P20" s="40"/>
      <c r="Q20" s="40"/>
      <c r="R20" s="41"/>
      <c r="S20" s="42">
        <f>Таблица!D29</f>
        <v>0</v>
      </c>
      <c r="T20" s="43"/>
    </row>
    <row r="21" spans="2:20" ht="24.75" customHeight="1" thickBot="1">
      <c r="B21" s="102"/>
      <c r="C21" s="120"/>
      <c r="D21" s="54">
        <f>Таблица!A30</f>
        <v>0</v>
      </c>
      <c r="E21" s="95"/>
      <c r="F21" s="95"/>
      <c r="G21" s="96"/>
      <c r="H21" s="39">
        <f>Таблица!B30</f>
        <v>0</v>
      </c>
      <c r="I21" s="40"/>
      <c r="J21" s="40"/>
      <c r="K21" s="40"/>
      <c r="L21" s="40"/>
      <c r="M21" s="41"/>
      <c r="N21" s="39">
        <f>Таблица!C30</f>
        <v>0</v>
      </c>
      <c r="O21" s="40"/>
      <c r="P21" s="40"/>
      <c r="Q21" s="40"/>
      <c r="R21" s="41"/>
      <c r="S21" s="42">
        <f>Таблица!D30</f>
        <v>0</v>
      </c>
      <c r="T21" s="43"/>
    </row>
    <row r="22" spans="2:20" ht="24.75" customHeight="1">
      <c r="B22" s="100" t="s">
        <v>18</v>
      </c>
      <c r="C22" s="116"/>
      <c r="D22" s="54">
        <f>Таблица!A31</f>
        <v>0</v>
      </c>
      <c r="E22" s="95"/>
      <c r="F22" s="95"/>
      <c r="G22" s="96"/>
      <c r="H22" s="39">
        <f>Таблица!B31</f>
        <v>0</v>
      </c>
      <c r="I22" s="40"/>
      <c r="J22" s="40"/>
      <c r="K22" s="40"/>
      <c r="L22" s="40"/>
      <c r="M22" s="41"/>
      <c r="N22" s="39">
        <f>Таблица!C31</f>
        <v>0</v>
      </c>
      <c r="O22" s="40"/>
      <c r="P22" s="40"/>
      <c r="Q22" s="40"/>
      <c r="R22" s="41"/>
      <c r="S22" s="42">
        <f>Таблица!D31</f>
        <v>0</v>
      </c>
      <c r="T22" s="43"/>
    </row>
    <row r="23" spans="2:20" ht="24.75" customHeight="1">
      <c r="B23" s="101"/>
      <c r="C23" s="116"/>
      <c r="D23" s="54">
        <f>Таблица!A32</f>
        <v>0</v>
      </c>
      <c r="E23" s="95"/>
      <c r="F23" s="95"/>
      <c r="G23" s="96"/>
      <c r="H23" s="39">
        <f>Таблица!B32</f>
        <v>0</v>
      </c>
      <c r="I23" s="40"/>
      <c r="J23" s="40"/>
      <c r="K23" s="40"/>
      <c r="L23" s="40"/>
      <c r="M23" s="41"/>
      <c r="N23" s="39">
        <f>Таблица!C32</f>
        <v>0</v>
      </c>
      <c r="O23" s="40"/>
      <c r="P23" s="40"/>
      <c r="Q23" s="40"/>
      <c r="R23" s="41"/>
      <c r="S23" s="42">
        <f>Таблица!D32</f>
        <v>0</v>
      </c>
      <c r="T23" s="43"/>
    </row>
    <row r="24" spans="2:20" ht="24.75" customHeight="1" thickBot="1">
      <c r="B24" s="102"/>
      <c r="C24" s="117"/>
      <c r="D24" s="54">
        <f>Таблица!A33</f>
        <v>0</v>
      </c>
      <c r="E24" s="95"/>
      <c r="F24" s="95"/>
      <c r="G24" s="96"/>
      <c r="H24" s="39">
        <f>Таблица!B33</f>
        <v>0</v>
      </c>
      <c r="I24" s="40"/>
      <c r="J24" s="40"/>
      <c r="K24" s="40"/>
      <c r="L24" s="40"/>
      <c r="M24" s="41"/>
      <c r="N24" s="39">
        <f>Таблица!C33</f>
        <v>0</v>
      </c>
      <c r="O24" s="40"/>
      <c r="P24" s="40"/>
      <c r="Q24" s="40"/>
      <c r="R24" s="41"/>
      <c r="S24" s="42">
        <f>Таблица!D33</f>
        <v>0</v>
      </c>
      <c r="T24" s="43"/>
    </row>
    <row r="25" spans="2:20" ht="24.75" customHeight="1">
      <c r="B25" s="100" t="s">
        <v>34</v>
      </c>
      <c r="C25" s="103"/>
      <c r="D25" s="54">
        <f>Таблица!A34</f>
        <v>0</v>
      </c>
      <c r="E25" s="95"/>
      <c r="F25" s="95"/>
      <c r="G25" s="96"/>
      <c r="H25" s="39">
        <f>Таблица!B34</f>
        <v>0</v>
      </c>
      <c r="I25" s="40"/>
      <c r="J25" s="40"/>
      <c r="K25" s="40"/>
      <c r="L25" s="40"/>
      <c r="M25" s="41"/>
      <c r="N25" s="39">
        <f>Таблица!C34</f>
        <v>0</v>
      </c>
      <c r="O25" s="40"/>
      <c r="P25" s="40"/>
      <c r="Q25" s="40"/>
      <c r="R25" s="41"/>
      <c r="S25" s="42">
        <f>Таблица!D34</f>
        <v>0</v>
      </c>
      <c r="T25" s="43"/>
    </row>
    <row r="26" spans="2:20" ht="24.75" customHeight="1">
      <c r="B26" s="101"/>
      <c r="C26" s="104"/>
      <c r="D26" s="54">
        <f>Таблица!A35</f>
        <v>0</v>
      </c>
      <c r="E26" s="95"/>
      <c r="F26" s="95"/>
      <c r="G26" s="96"/>
      <c r="H26" s="39">
        <f>Таблица!B35</f>
        <v>0</v>
      </c>
      <c r="I26" s="40"/>
      <c r="J26" s="40"/>
      <c r="K26" s="40"/>
      <c r="L26" s="40"/>
      <c r="M26" s="41"/>
      <c r="N26" s="39">
        <f>Таблица!C35</f>
        <v>0</v>
      </c>
      <c r="O26" s="40"/>
      <c r="P26" s="40"/>
      <c r="Q26" s="40"/>
      <c r="R26" s="41"/>
      <c r="S26" s="42">
        <f>Таблица!D35</f>
        <v>0</v>
      </c>
      <c r="T26" s="43"/>
    </row>
    <row r="27" spans="2:20" ht="24.75" customHeight="1" thickBot="1">
      <c r="B27" s="102"/>
      <c r="C27" s="105"/>
      <c r="D27" s="54">
        <f>Таблица!A36</f>
        <v>0</v>
      </c>
      <c r="E27" s="95"/>
      <c r="F27" s="95"/>
      <c r="G27" s="96"/>
      <c r="H27" s="39">
        <f>Таблица!B36</f>
        <v>0</v>
      </c>
      <c r="I27" s="40"/>
      <c r="J27" s="40"/>
      <c r="K27" s="40"/>
      <c r="L27" s="40"/>
      <c r="M27" s="41"/>
      <c r="N27" s="39">
        <f>Таблица!C36</f>
        <v>0</v>
      </c>
      <c r="O27" s="40"/>
      <c r="P27" s="40"/>
      <c r="Q27" s="40"/>
      <c r="R27" s="41"/>
      <c r="S27" s="42">
        <f>Таблица!D36</f>
        <v>0</v>
      </c>
      <c r="T27" s="43"/>
    </row>
    <row r="28" spans="2:20" ht="24.75" customHeight="1">
      <c r="B28" s="100" t="s">
        <v>17</v>
      </c>
      <c r="C28" s="103"/>
      <c r="D28" s="54">
        <f>Таблица!A37</f>
        <v>0</v>
      </c>
      <c r="E28" s="95"/>
      <c r="F28" s="95"/>
      <c r="G28" s="96"/>
      <c r="H28" s="39">
        <f>Таблица!B37</f>
        <v>0</v>
      </c>
      <c r="I28" s="40"/>
      <c r="J28" s="40"/>
      <c r="K28" s="40"/>
      <c r="L28" s="40"/>
      <c r="M28" s="41"/>
      <c r="N28" s="39">
        <f>Таблица!C37</f>
        <v>0</v>
      </c>
      <c r="O28" s="40"/>
      <c r="P28" s="40"/>
      <c r="Q28" s="40"/>
      <c r="R28" s="41"/>
      <c r="S28" s="42">
        <f>Таблица!D37</f>
        <v>0</v>
      </c>
      <c r="T28" s="43"/>
    </row>
    <row r="29" spans="2:20" ht="24.75" customHeight="1" thickBot="1">
      <c r="B29" s="101"/>
      <c r="C29" s="104"/>
      <c r="D29" s="44">
        <f>Таблица!A38</f>
        <v>0</v>
      </c>
      <c r="E29" s="45"/>
      <c r="F29" s="45"/>
      <c r="G29" s="46"/>
      <c r="H29" s="44">
        <f>Таблица!B38</f>
        <v>0</v>
      </c>
      <c r="I29" s="45"/>
      <c r="J29" s="45"/>
      <c r="K29" s="45"/>
      <c r="L29" s="45"/>
      <c r="M29" s="46"/>
      <c r="N29" s="44">
        <f>Таблица!C38</f>
        <v>0</v>
      </c>
      <c r="O29" s="45"/>
      <c r="P29" s="45"/>
      <c r="Q29" s="45"/>
      <c r="R29" s="46"/>
      <c r="S29" s="47">
        <f>Таблица!D38</f>
        <v>0</v>
      </c>
      <c r="T29" s="48"/>
    </row>
    <row r="30" spans="2:20" ht="13.5" customHeight="1">
      <c r="B30" s="101"/>
      <c r="C30" s="104"/>
      <c r="D30" s="33">
        <f>Version</f>
        <v>1</v>
      </c>
      <c r="E30" s="16"/>
      <c r="F30" s="16"/>
      <c r="G30" s="114" t="s">
        <v>35</v>
      </c>
      <c r="H30" s="114"/>
      <c r="I30" s="18"/>
      <c r="J30" s="65">
        <f>KDNumber</f>
        <v>0</v>
      </c>
      <c r="K30" s="66"/>
      <c r="L30" s="66"/>
      <c r="M30" s="66"/>
      <c r="N30" s="66"/>
      <c r="O30" s="66"/>
      <c r="P30" s="66"/>
      <c r="Q30" s="66"/>
      <c r="R30" s="66"/>
      <c r="S30" s="66"/>
      <c r="T30" s="67"/>
    </row>
    <row r="31" spans="2:20" ht="13.5" customHeight="1" thickBot="1">
      <c r="B31" s="101"/>
      <c r="C31" s="104"/>
      <c r="D31" s="24"/>
      <c r="E31" s="17"/>
      <c r="F31" s="17"/>
      <c r="G31" s="115"/>
      <c r="H31" s="115"/>
      <c r="I31" s="19"/>
      <c r="J31" s="65"/>
      <c r="K31" s="66"/>
      <c r="L31" s="66"/>
      <c r="M31" s="66"/>
      <c r="N31" s="66"/>
      <c r="O31" s="66"/>
      <c r="P31" s="66"/>
      <c r="Q31" s="66"/>
      <c r="R31" s="66"/>
      <c r="S31" s="66"/>
      <c r="T31" s="67"/>
    </row>
    <row r="32" spans="2:20" ht="13.5" customHeight="1" thickBot="1">
      <c r="B32" s="102"/>
      <c r="C32" s="105"/>
      <c r="D32" s="25" t="s">
        <v>2</v>
      </c>
      <c r="E32" s="15" t="s">
        <v>0</v>
      </c>
      <c r="F32" s="15" t="s">
        <v>3</v>
      </c>
      <c r="G32" s="74" t="s">
        <v>4</v>
      </c>
      <c r="H32" s="75"/>
      <c r="I32" s="14" t="s">
        <v>5</v>
      </c>
      <c r="J32" s="68"/>
      <c r="K32" s="69"/>
      <c r="L32" s="69"/>
      <c r="M32" s="69"/>
      <c r="N32" s="69"/>
      <c r="O32" s="69"/>
      <c r="P32" s="69"/>
      <c r="Q32" s="69"/>
      <c r="R32" s="69"/>
      <c r="S32" s="69"/>
      <c r="T32" s="70"/>
    </row>
    <row r="33" spans="2:20" ht="13.5" customHeight="1" thickBot="1">
      <c r="B33" s="100" t="s">
        <v>19</v>
      </c>
      <c r="C33" s="103"/>
      <c r="D33" s="106" t="s">
        <v>6</v>
      </c>
      <c r="E33" s="107"/>
      <c r="F33" s="34">
        <f>Author</f>
        <v>0</v>
      </c>
      <c r="G33" s="108"/>
      <c r="H33" s="109"/>
      <c r="I33" s="29" t="str">
        <f>CreationDate</f>
        <v>23.10.26</v>
      </c>
      <c r="J33" s="90" t="str">
        <f>NameMain &amp; CHAR(10) &amp;  NameAdd &amp; CHAR(10) &amp;  DocName</f>
        <v xml:space="preserve">
ЗИП
Перечень электрокомпонентов</v>
      </c>
      <c r="K33" s="74" t="s">
        <v>7</v>
      </c>
      <c r="L33" s="75"/>
      <c r="M33" s="75"/>
      <c r="N33" s="75"/>
      <c r="O33" s="75"/>
      <c r="P33" s="75"/>
      <c r="Q33" s="76"/>
      <c r="R33" s="77" t="s">
        <v>0</v>
      </c>
      <c r="S33" s="78"/>
      <c r="T33" s="26" t="s">
        <v>1</v>
      </c>
    </row>
    <row r="34" spans="2:20" ht="13.5" customHeight="1" thickBot="1">
      <c r="B34" s="101"/>
      <c r="C34" s="104"/>
      <c r="D34" s="86" t="s">
        <v>8</v>
      </c>
      <c r="E34" s="87"/>
      <c r="F34" s="35">
        <f>Revisor</f>
        <v>0</v>
      </c>
      <c r="G34" s="93"/>
      <c r="H34" s="94"/>
      <c r="I34" s="30" t="str">
        <f>CreationDate</f>
        <v>23.10.26</v>
      </c>
      <c r="J34" s="91"/>
      <c r="K34" s="14" t="s">
        <v>20</v>
      </c>
      <c r="L34" s="79"/>
      <c r="M34" s="79"/>
      <c r="N34" s="79"/>
      <c r="O34" s="79"/>
      <c r="P34" s="79"/>
      <c r="Q34" s="80"/>
      <c r="R34" s="77" t="s">
        <v>25</v>
      </c>
      <c r="S34" s="78"/>
      <c r="T34" s="27">
        <f>SheetsNumber</f>
        <v>1</v>
      </c>
    </row>
    <row r="35" spans="2:20" ht="13.5" customHeight="1">
      <c r="B35" s="101"/>
      <c r="C35" s="104"/>
      <c r="D35" s="86"/>
      <c r="E35" s="87"/>
      <c r="F35" s="35"/>
      <c r="G35" s="88"/>
      <c r="H35" s="89"/>
      <c r="I35" s="30"/>
      <c r="J35" s="91"/>
      <c r="K35" s="56"/>
      <c r="L35" s="57"/>
      <c r="M35" s="57"/>
      <c r="N35" s="57"/>
      <c r="O35" s="57"/>
      <c r="P35" s="57"/>
      <c r="Q35" s="57"/>
      <c r="R35" s="57"/>
      <c r="S35" s="57"/>
      <c r="T35" s="58"/>
    </row>
    <row r="36" spans="2:20" ht="13.5" customHeight="1">
      <c r="B36" s="101"/>
      <c r="C36" s="104"/>
      <c r="D36" s="86" t="s">
        <v>9</v>
      </c>
      <c r="E36" s="87"/>
      <c r="F36" s="35">
        <f>N.Contr</f>
        <v>0</v>
      </c>
      <c r="G36" s="88"/>
      <c r="H36" s="89"/>
      <c r="I36" s="30" t="str">
        <f>CreationDate</f>
        <v>23.10.26</v>
      </c>
      <c r="J36" s="91"/>
      <c r="K36" s="59"/>
      <c r="L36" s="60"/>
      <c r="M36" s="60"/>
      <c r="N36" s="60"/>
      <c r="O36" s="60"/>
      <c r="P36" s="60"/>
      <c r="Q36" s="60"/>
      <c r="R36" s="60"/>
      <c r="S36" s="60"/>
      <c r="T36" s="61"/>
    </row>
    <row r="37" spans="2:20" ht="13.5" customHeight="1" thickBot="1">
      <c r="B37" s="102"/>
      <c r="C37" s="105"/>
      <c r="D37" s="110" t="s">
        <v>10</v>
      </c>
      <c r="E37" s="111"/>
      <c r="F37" s="36">
        <f>Approved</f>
        <v>0</v>
      </c>
      <c r="G37" s="112"/>
      <c r="H37" s="113"/>
      <c r="I37" s="31" t="str">
        <f>CreationDate</f>
        <v>23.10.26</v>
      </c>
      <c r="J37" s="92"/>
      <c r="K37" s="62"/>
      <c r="L37" s="63"/>
      <c r="M37" s="63"/>
      <c r="N37" s="63"/>
      <c r="O37" s="63"/>
      <c r="P37" s="63"/>
      <c r="Q37" s="63"/>
      <c r="R37" s="63"/>
      <c r="S37" s="63"/>
      <c r="T37" s="64"/>
    </row>
  </sheetData>
  <mergeCells count="147">
    <mergeCell ref="D2:G2"/>
    <mergeCell ref="D11:G11"/>
    <mergeCell ref="D5:G5"/>
    <mergeCell ref="D6:G6"/>
    <mergeCell ref="D3:G3"/>
    <mergeCell ref="D4:G4"/>
    <mergeCell ref="B25:B27"/>
    <mergeCell ref="C25:C27"/>
    <mergeCell ref="D25:G25"/>
    <mergeCell ref="D26:G26"/>
    <mergeCell ref="D23:G23"/>
    <mergeCell ref="D24:G24"/>
    <mergeCell ref="D21:G21"/>
    <mergeCell ref="H23:M23"/>
    <mergeCell ref="H24:M24"/>
    <mergeCell ref="B22:B24"/>
    <mergeCell ref="C22:C24"/>
    <mergeCell ref="D22:G22"/>
    <mergeCell ref="B17:B21"/>
    <mergeCell ref="C17:C21"/>
    <mergeCell ref="D17:G17"/>
    <mergeCell ref="D18:G18"/>
    <mergeCell ref="B33:B37"/>
    <mergeCell ref="C33:C37"/>
    <mergeCell ref="D33:E33"/>
    <mergeCell ref="G33:H33"/>
    <mergeCell ref="G36:H36"/>
    <mergeCell ref="D37:E37"/>
    <mergeCell ref="G37:H37"/>
    <mergeCell ref="G30:H30"/>
    <mergeCell ref="G31:H31"/>
    <mergeCell ref="G32:H32"/>
    <mergeCell ref="B28:B32"/>
    <mergeCell ref="C28:C32"/>
    <mergeCell ref="D28:G28"/>
    <mergeCell ref="D29:G29"/>
    <mergeCell ref="N1:R1"/>
    <mergeCell ref="S1:T1"/>
    <mergeCell ref="S12:T12"/>
    <mergeCell ref="N13:R13"/>
    <mergeCell ref="S13:T13"/>
    <mergeCell ref="D35:E35"/>
    <mergeCell ref="G35:H35"/>
    <mergeCell ref="D36:E36"/>
    <mergeCell ref="J33:J37"/>
    <mergeCell ref="D34:E34"/>
    <mergeCell ref="G34:H34"/>
    <mergeCell ref="D27:G27"/>
    <mergeCell ref="D19:G19"/>
    <mergeCell ref="D20:G20"/>
    <mergeCell ref="D15:G15"/>
    <mergeCell ref="D16:G16"/>
    <mergeCell ref="D13:G13"/>
    <mergeCell ref="D14:G14"/>
    <mergeCell ref="D12:G12"/>
    <mergeCell ref="D9:G9"/>
    <mergeCell ref="D10:G10"/>
    <mergeCell ref="D7:G7"/>
    <mergeCell ref="D8:G8"/>
    <mergeCell ref="D1:G1"/>
    <mergeCell ref="K33:Q33"/>
    <mergeCell ref="R33:S33"/>
    <mergeCell ref="L34:N34"/>
    <mergeCell ref="O34:Q34"/>
    <mergeCell ref="R34:S34"/>
    <mergeCell ref="N14:R14"/>
    <mergeCell ref="S14:T14"/>
    <mergeCell ref="N15:R15"/>
    <mergeCell ref="S15:T15"/>
    <mergeCell ref="N16:R16"/>
    <mergeCell ref="S16:T16"/>
    <mergeCell ref="N17:R17"/>
    <mergeCell ref="S17:T17"/>
    <mergeCell ref="N18:R18"/>
    <mergeCell ref="S18:T18"/>
    <mergeCell ref="N19:R19"/>
    <mergeCell ref="S19:T19"/>
    <mergeCell ref="N20:R20"/>
    <mergeCell ref="S20:T20"/>
    <mergeCell ref="H25:M25"/>
    <mergeCell ref="H26:M26"/>
    <mergeCell ref="H27:M27"/>
    <mergeCell ref="H21:M21"/>
    <mergeCell ref="H22:M22"/>
    <mergeCell ref="K35:T37"/>
    <mergeCell ref="H29:M29"/>
    <mergeCell ref="J30:T32"/>
    <mergeCell ref="H28:M28"/>
    <mergeCell ref="H2:M2"/>
    <mergeCell ref="H3:M3"/>
    <mergeCell ref="H1:M1"/>
    <mergeCell ref="H4:M4"/>
    <mergeCell ref="H5:M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H15:M15"/>
    <mergeCell ref="H16:M16"/>
    <mergeCell ref="H17:M17"/>
    <mergeCell ref="H18:M18"/>
    <mergeCell ref="H19:M19"/>
    <mergeCell ref="H20:M20"/>
    <mergeCell ref="N2:R2"/>
    <mergeCell ref="S2:T2"/>
    <mergeCell ref="N3:R3"/>
    <mergeCell ref="S3:T3"/>
    <mergeCell ref="N4:R4"/>
    <mergeCell ref="S4:T4"/>
    <mergeCell ref="N5:R5"/>
    <mergeCell ref="S5:T5"/>
    <mergeCell ref="N6:R6"/>
    <mergeCell ref="S6:T6"/>
    <mergeCell ref="N7:R7"/>
    <mergeCell ref="S7:T7"/>
    <mergeCell ref="N8:R8"/>
    <mergeCell ref="S8:T8"/>
    <mergeCell ref="N9:R9"/>
    <mergeCell ref="S9:T9"/>
    <mergeCell ref="N10:R10"/>
    <mergeCell ref="S10:T10"/>
    <mergeCell ref="N11:R11"/>
    <mergeCell ref="S11:T11"/>
    <mergeCell ref="N12:R12"/>
    <mergeCell ref="N26:R26"/>
    <mergeCell ref="S26:T26"/>
    <mergeCell ref="N27:R27"/>
    <mergeCell ref="S27:T27"/>
    <mergeCell ref="N28:R28"/>
    <mergeCell ref="S28:T28"/>
    <mergeCell ref="N29:R29"/>
    <mergeCell ref="S29:T29"/>
    <mergeCell ref="N21:R21"/>
    <mergeCell ref="S21:T21"/>
    <mergeCell ref="N22:R22"/>
    <mergeCell ref="S22:T22"/>
    <mergeCell ref="N23:R23"/>
    <mergeCell ref="S23:T23"/>
    <mergeCell ref="N24:R24"/>
    <mergeCell ref="S24:T24"/>
    <mergeCell ref="N25:R25"/>
    <mergeCell ref="S25:T25"/>
  </mergeCells>
  <conditionalFormatting sqref="H38:M1048576 K33:M37 K6:M27 H1:J37">
    <cfRule type="containsText" dxfId="2" priority="7" operator="containsText" text="Сборочная единица">
      <formula>NOT(ISERROR(SEARCH("Сборочная единица",H1)))</formula>
    </cfRule>
  </conditionalFormatting>
  <conditionalFormatting sqref="D38:T1048576 T33:T37 K6:M27 K33:R37 S35:S37 N1:T29 H1:J37 E1:G2 D1:D37 E4:G18 E29:G37">
    <cfRule type="containsText" dxfId="1" priority="4" operator="containsText" text="Сборочный комплект">
      <formula>NOT(ISERROR(SEARCH("Сборочный комплект",D1)))</formula>
    </cfRule>
    <cfRule type="cellIs" dxfId="0" priority="5" operator="equal">
      <formula>"Стационарные части блоков"</formula>
    </cfRule>
  </conditionalFormatting>
  <pageMargins left="0.19685039370078741" right="0.19685039370078741" top="0.19685039370078741" bottom="0.19685039370078741" header="0" footer="0"/>
  <pageSetup paperSize="9" scale="97" fitToHeight="0" orientation="portrait" r:id="rId1"/>
  <headerFooter alignWithMargins="0"/>
  <rowBreaks count="1" manualBreakCount="1">
    <brk id="38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00A1A52E-E60A-407E-8696-DC79F34E780C}">
            <xm:f>NOT(ISERROR(SEARCH(Info!$B$21,H1)))</xm:f>
            <xm:f>Info!$B$21</xm:f>
            <x14:dxf>
              <font>
                <b/>
                <i/>
                <u/>
                <color auto="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4" operator="containsText" id="{1F80119A-3B25-46F5-AB91-5E806FE0E6BE}">
            <xm:f>NOT(ISERROR(SEARCH(Info!$B$22,H1)))</xm:f>
            <xm:f>Info!$B$22</xm:f>
            <x14:dxf>
              <font>
                <b/>
                <i/>
                <u val="double"/>
              </font>
            </x14:dxf>
          </x14:cfRule>
          <x14:cfRule type="containsText" priority="2" operator="containsText" id="{DE51194A-44CB-40B4-9411-7FA93F5BE3CA}">
            <xm:f>NOT(ISERROR(SEARCH(Info!#REF!,H1)))</xm:f>
            <xm:f>Info!#REF!</xm:f>
            <x14:dxf>
              <font>
                <u/>
              </font>
            </x14:dxf>
          </x14:cfRule>
          <xm:sqref>H1:J1048576</xm:sqref>
        </x14:conditionalFormatting>
        <x14:conditionalFormatting xmlns:xm="http://schemas.microsoft.com/office/excel/2006/main">
          <x14:cfRule type="containsText" priority="5" operator="containsText" id="{303B94D7-D02E-459A-9335-EEF3BDF89F60}">
            <xm:f>NOT(ISERROR(SEARCH(Info!#REF!,D1)))</xm:f>
            <xm:f>Info!#REF!</xm:f>
            <x14:dxf>
              <font>
                <u val="double"/>
              </font>
            </x14:dxf>
          </x14:cfRule>
          <xm:sqref>D1:J1048576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4"/>
  <dimension ref="A1:E1"/>
  <sheetViews>
    <sheetView zoomScale="70" zoomScaleNormal="70" workbookViewId="0">
      <selection activeCell="B19" sqref="B19"/>
    </sheetView>
  </sheetViews>
  <sheetFormatPr defaultRowHeight="12.75"/>
  <cols>
    <col min="1" max="4" width="32.85546875" style="37" customWidth="1"/>
    <col min="5" max="5" width="1.7109375" style="37" customWidth="1"/>
    <col min="6" max="149" width="1.7109375" style="38" customWidth="1"/>
    <col min="150" max="16384" width="9.140625" style="38"/>
  </cols>
  <sheetData/>
  <autoFilter ref="A10:D1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5"/>
  <dimension ref="A1:B25"/>
  <sheetViews>
    <sheetView workbookViewId="0">
      <selection activeCell="E13" sqref="E13"/>
    </sheetView>
  </sheetViews>
  <sheetFormatPr defaultRowHeight="12.75"/>
  <cols>
    <col min="1" max="1" width="32" customWidth="1"/>
    <col min="2" max="2" width="34.28515625" customWidth="1"/>
  </cols>
  <sheetData>
    <row r="1" spans="1:2">
      <c r="A1" s="12" t="s">
        <v>26</v>
      </c>
      <c r="B1" s="9" t="s">
        <v>27</v>
      </c>
    </row>
    <row r="2" spans="1:2">
      <c r="A2" s="9" t="s">
        <v>12</v>
      </c>
      <c r="B2" s="9"/>
    </row>
    <row r="3" spans="1:2">
      <c r="A3" s="9" t="s">
        <v>23</v>
      </c>
      <c r="B3" s="9"/>
    </row>
    <row r="4" spans="1:2">
      <c r="A4" s="12" t="s">
        <v>30</v>
      </c>
      <c r="B4" s="12"/>
    </row>
    <row r="5" spans="1:2">
      <c r="A5" s="12" t="s">
        <v>28</v>
      </c>
      <c r="B5" s="12" t="s">
        <v>36</v>
      </c>
    </row>
    <row r="6" spans="1:2">
      <c r="A6" s="9" t="s">
        <v>5</v>
      </c>
      <c r="B6" s="32" t="s">
        <v>37</v>
      </c>
    </row>
    <row r="7" spans="1:2">
      <c r="A7" s="9" t="s">
        <v>13</v>
      </c>
      <c r="B7" s="10"/>
    </row>
    <row r="8" spans="1:2">
      <c r="A8" s="9" t="s">
        <v>8</v>
      </c>
      <c r="B8" s="9"/>
    </row>
    <row r="9" spans="1:2">
      <c r="A9" s="9" t="s">
        <v>10</v>
      </c>
      <c r="B9" s="12"/>
    </row>
    <row r="10" spans="1:2">
      <c r="A10" s="9" t="s">
        <v>22</v>
      </c>
      <c r="B10" s="9"/>
    </row>
    <row r="11" spans="1:2">
      <c r="A11" s="9" t="s">
        <v>31</v>
      </c>
      <c r="B11" s="9"/>
    </row>
    <row r="12" spans="1:2">
      <c r="A12" s="12" t="s">
        <v>32</v>
      </c>
      <c r="B12" s="9" t="s">
        <v>38</v>
      </c>
    </row>
    <row r="13" spans="1:2">
      <c r="A13" s="13" t="s">
        <v>24</v>
      </c>
      <c r="B13" s="9">
        <v>1</v>
      </c>
    </row>
    <row r="14" spans="1:2">
      <c r="A14" s="9" t="s">
        <v>21</v>
      </c>
      <c r="B14" s="9" t="b">
        <v>0</v>
      </c>
    </row>
    <row r="15" spans="1:2">
      <c r="A15" s="12" t="s">
        <v>33</v>
      </c>
      <c r="B15" s="9">
        <v>1</v>
      </c>
    </row>
    <row r="16" spans="1:2">
      <c r="A16" s="9"/>
      <c r="B16" s="9"/>
    </row>
    <row r="17" spans="1:2">
      <c r="A17" s="12"/>
      <c r="B17" s="12"/>
    </row>
    <row r="18" spans="1:2">
      <c r="A18" s="12"/>
      <c r="B18" s="11"/>
    </row>
    <row r="19" spans="1:2">
      <c r="A19" s="12"/>
      <c r="B19" s="9"/>
    </row>
    <row r="20" spans="1:2">
      <c r="A20" s="12"/>
      <c r="B20" s="9"/>
    </row>
    <row r="21" spans="1:2">
      <c r="A21" s="12" t="s">
        <v>29</v>
      </c>
      <c r="B21" s="12"/>
    </row>
    <row r="22" spans="1:2">
      <c r="A22" s="12" t="s">
        <v>29</v>
      </c>
      <c r="B22" s="12"/>
    </row>
    <row r="23" spans="1:2">
      <c r="A23" s="9"/>
      <c r="B23" s="9"/>
    </row>
    <row r="24" spans="1:2">
      <c r="A24" s="9"/>
      <c r="B24" s="9"/>
    </row>
    <row r="25" spans="1:2">
      <c r="A25" s="9"/>
      <c r="B25" s="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Лист3">
    <pageSetUpPr fitToPage="1"/>
  </sheetPr>
  <dimension ref="A1:T36"/>
  <sheetViews>
    <sheetView showZeros="0" view="pageBreakPreview" topLeftCell="A19" zoomScaleNormal="130" zoomScaleSheetLayoutView="100" workbookViewId="0">
      <selection activeCell="H2" sqref="H2:M32"/>
    </sheetView>
  </sheetViews>
  <sheetFormatPr defaultColWidth="0.140625" defaultRowHeight="6.75" customHeight="1"/>
  <cols>
    <col min="1" max="1" width="1.140625" style="3" customWidth="1"/>
    <col min="2" max="2" width="2.5703125" style="6" customWidth="1"/>
    <col min="3" max="3" width="3.85546875" style="6" customWidth="1"/>
    <col min="4" max="4" width="4.140625" style="2" customWidth="1"/>
    <col min="5" max="5" width="5" style="2" customWidth="1"/>
    <col min="6" max="6" width="11" style="2" customWidth="1"/>
    <col min="7" max="7" width="2.85546875" style="2" customWidth="1"/>
    <col min="8" max="8" width="7" style="2" customWidth="1"/>
    <col min="9" max="9" width="5" style="2" customWidth="1"/>
    <col min="10" max="10" width="35" style="2" customWidth="1"/>
    <col min="11" max="11" width="2.85546875" style="2" customWidth="1"/>
    <col min="12" max="13" width="1" style="2" customWidth="1"/>
    <col min="14" max="18" width="1" style="3" customWidth="1"/>
    <col min="19" max="19" width="7.140625" style="3" customWidth="1"/>
    <col min="20" max="20" width="8" style="3" customWidth="1"/>
    <col min="21" max="66" width="1" style="3" customWidth="1"/>
    <col min="67" max="81" width="1.140625" style="3" customWidth="1"/>
    <col min="82" max="113" width="1" style="3" customWidth="1"/>
    <col min="114" max="272" width="0" style="3" hidden="1" customWidth="1"/>
    <col min="273" max="273" width="0.140625" style="3"/>
    <col min="274" max="274" width="1.140625" style="3" customWidth="1"/>
    <col min="275" max="275" width="2.5703125" style="3" customWidth="1"/>
    <col min="276" max="276" width="3.85546875" style="3" customWidth="1"/>
    <col min="277" max="322" width="1" style="3" customWidth="1"/>
    <col min="323" max="337" width="1.140625" style="3" customWidth="1"/>
    <col min="338" max="369" width="1" style="3" customWidth="1"/>
    <col min="370" max="528" width="0" style="3" hidden="1" customWidth="1"/>
    <col min="529" max="529" width="0.140625" style="3"/>
    <col min="530" max="530" width="1.140625" style="3" customWidth="1"/>
    <col min="531" max="531" width="2.5703125" style="3" customWidth="1"/>
    <col min="532" max="532" width="3.85546875" style="3" customWidth="1"/>
    <col min="533" max="578" width="1" style="3" customWidth="1"/>
    <col min="579" max="593" width="1.140625" style="3" customWidth="1"/>
    <col min="594" max="625" width="1" style="3" customWidth="1"/>
    <col min="626" max="784" width="0" style="3" hidden="1" customWidth="1"/>
    <col min="785" max="785" width="0.140625" style="3"/>
    <col min="786" max="786" width="1.140625" style="3" customWidth="1"/>
    <col min="787" max="787" width="2.5703125" style="3" customWidth="1"/>
    <col min="788" max="788" width="3.85546875" style="3" customWidth="1"/>
    <col min="789" max="834" width="1" style="3" customWidth="1"/>
    <col min="835" max="849" width="1.140625" style="3" customWidth="1"/>
    <col min="850" max="881" width="1" style="3" customWidth="1"/>
    <col min="882" max="1040" width="0" style="3" hidden="1" customWidth="1"/>
    <col min="1041" max="1041" width="0.140625" style="3"/>
    <col min="1042" max="1042" width="1.140625" style="3" customWidth="1"/>
    <col min="1043" max="1043" width="2.5703125" style="3" customWidth="1"/>
    <col min="1044" max="1044" width="3.85546875" style="3" customWidth="1"/>
    <col min="1045" max="1090" width="1" style="3" customWidth="1"/>
    <col min="1091" max="1105" width="1.140625" style="3" customWidth="1"/>
    <col min="1106" max="1137" width="1" style="3" customWidth="1"/>
    <col min="1138" max="1296" width="0" style="3" hidden="1" customWidth="1"/>
    <col min="1297" max="1297" width="0.140625" style="3"/>
    <col min="1298" max="1298" width="1.140625" style="3" customWidth="1"/>
    <col min="1299" max="1299" width="2.5703125" style="3" customWidth="1"/>
    <col min="1300" max="1300" width="3.85546875" style="3" customWidth="1"/>
    <col min="1301" max="1346" width="1" style="3" customWidth="1"/>
    <col min="1347" max="1361" width="1.140625" style="3" customWidth="1"/>
    <col min="1362" max="1393" width="1" style="3" customWidth="1"/>
    <col min="1394" max="1552" width="0" style="3" hidden="1" customWidth="1"/>
    <col min="1553" max="1553" width="0.140625" style="3"/>
    <col min="1554" max="1554" width="1.140625" style="3" customWidth="1"/>
    <col min="1555" max="1555" width="2.5703125" style="3" customWidth="1"/>
    <col min="1556" max="1556" width="3.85546875" style="3" customWidth="1"/>
    <col min="1557" max="1602" width="1" style="3" customWidth="1"/>
    <col min="1603" max="1617" width="1.140625" style="3" customWidth="1"/>
    <col min="1618" max="1649" width="1" style="3" customWidth="1"/>
    <col min="1650" max="1808" width="0" style="3" hidden="1" customWidth="1"/>
    <col min="1809" max="1809" width="0.140625" style="3"/>
    <col min="1810" max="1810" width="1.140625" style="3" customWidth="1"/>
    <col min="1811" max="1811" width="2.5703125" style="3" customWidth="1"/>
    <col min="1812" max="1812" width="3.85546875" style="3" customWidth="1"/>
    <col min="1813" max="1858" width="1" style="3" customWidth="1"/>
    <col min="1859" max="1873" width="1.140625" style="3" customWidth="1"/>
    <col min="1874" max="1905" width="1" style="3" customWidth="1"/>
    <col min="1906" max="2064" width="0" style="3" hidden="1" customWidth="1"/>
    <col min="2065" max="2065" width="0.140625" style="3"/>
    <col min="2066" max="2066" width="1.140625" style="3" customWidth="1"/>
    <col min="2067" max="2067" width="2.5703125" style="3" customWidth="1"/>
    <col min="2068" max="2068" width="3.85546875" style="3" customWidth="1"/>
    <col min="2069" max="2114" width="1" style="3" customWidth="1"/>
    <col min="2115" max="2129" width="1.140625" style="3" customWidth="1"/>
    <col min="2130" max="2161" width="1" style="3" customWidth="1"/>
    <col min="2162" max="2320" width="0" style="3" hidden="1" customWidth="1"/>
    <col min="2321" max="2321" width="0.140625" style="3"/>
    <col min="2322" max="2322" width="1.140625" style="3" customWidth="1"/>
    <col min="2323" max="2323" width="2.5703125" style="3" customWidth="1"/>
    <col min="2324" max="2324" width="3.85546875" style="3" customWidth="1"/>
    <col min="2325" max="2370" width="1" style="3" customWidth="1"/>
    <col min="2371" max="2385" width="1.140625" style="3" customWidth="1"/>
    <col min="2386" max="2417" width="1" style="3" customWidth="1"/>
    <col min="2418" max="2576" width="0" style="3" hidden="1" customWidth="1"/>
    <col min="2577" max="2577" width="0.140625" style="3"/>
    <col min="2578" max="2578" width="1.140625" style="3" customWidth="1"/>
    <col min="2579" max="2579" width="2.5703125" style="3" customWidth="1"/>
    <col min="2580" max="2580" width="3.85546875" style="3" customWidth="1"/>
    <col min="2581" max="2626" width="1" style="3" customWidth="1"/>
    <col min="2627" max="2641" width="1.140625" style="3" customWidth="1"/>
    <col min="2642" max="2673" width="1" style="3" customWidth="1"/>
    <col min="2674" max="2832" width="0" style="3" hidden="1" customWidth="1"/>
    <col min="2833" max="2833" width="0.140625" style="3"/>
    <col min="2834" max="2834" width="1.140625" style="3" customWidth="1"/>
    <col min="2835" max="2835" width="2.5703125" style="3" customWidth="1"/>
    <col min="2836" max="2836" width="3.85546875" style="3" customWidth="1"/>
    <col min="2837" max="2882" width="1" style="3" customWidth="1"/>
    <col min="2883" max="2897" width="1.140625" style="3" customWidth="1"/>
    <col min="2898" max="2929" width="1" style="3" customWidth="1"/>
    <col min="2930" max="3088" width="0" style="3" hidden="1" customWidth="1"/>
    <col min="3089" max="3089" width="0.140625" style="3"/>
    <col min="3090" max="3090" width="1.140625" style="3" customWidth="1"/>
    <col min="3091" max="3091" width="2.5703125" style="3" customWidth="1"/>
    <col min="3092" max="3092" width="3.85546875" style="3" customWidth="1"/>
    <col min="3093" max="3138" width="1" style="3" customWidth="1"/>
    <col min="3139" max="3153" width="1.140625" style="3" customWidth="1"/>
    <col min="3154" max="3185" width="1" style="3" customWidth="1"/>
    <col min="3186" max="3344" width="0" style="3" hidden="1" customWidth="1"/>
    <col min="3345" max="3345" width="0.140625" style="3"/>
    <col min="3346" max="3346" width="1.140625" style="3" customWidth="1"/>
    <col min="3347" max="3347" width="2.5703125" style="3" customWidth="1"/>
    <col min="3348" max="3348" width="3.85546875" style="3" customWidth="1"/>
    <col min="3349" max="3394" width="1" style="3" customWidth="1"/>
    <col min="3395" max="3409" width="1.140625" style="3" customWidth="1"/>
    <col min="3410" max="3441" width="1" style="3" customWidth="1"/>
    <col min="3442" max="3600" width="0" style="3" hidden="1" customWidth="1"/>
    <col min="3601" max="3601" width="0.140625" style="3"/>
    <col min="3602" max="3602" width="1.140625" style="3" customWidth="1"/>
    <col min="3603" max="3603" width="2.5703125" style="3" customWidth="1"/>
    <col min="3604" max="3604" width="3.85546875" style="3" customWidth="1"/>
    <col min="3605" max="3650" width="1" style="3" customWidth="1"/>
    <col min="3651" max="3665" width="1.140625" style="3" customWidth="1"/>
    <col min="3666" max="3697" width="1" style="3" customWidth="1"/>
    <col min="3698" max="3856" width="0" style="3" hidden="1" customWidth="1"/>
    <col min="3857" max="3857" width="0.140625" style="3"/>
    <col min="3858" max="3858" width="1.140625" style="3" customWidth="1"/>
    <col min="3859" max="3859" width="2.5703125" style="3" customWidth="1"/>
    <col min="3860" max="3860" width="3.85546875" style="3" customWidth="1"/>
    <col min="3861" max="3906" width="1" style="3" customWidth="1"/>
    <col min="3907" max="3921" width="1.140625" style="3" customWidth="1"/>
    <col min="3922" max="3953" width="1" style="3" customWidth="1"/>
    <col min="3954" max="4112" width="0" style="3" hidden="1" customWidth="1"/>
    <col min="4113" max="4113" width="0.140625" style="3"/>
    <col min="4114" max="4114" width="1.140625" style="3" customWidth="1"/>
    <col min="4115" max="4115" width="2.5703125" style="3" customWidth="1"/>
    <col min="4116" max="4116" width="3.85546875" style="3" customWidth="1"/>
    <col min="4117" max="4162" width="1" style="3" customWidth="1"/>
    <col min="4163" max="4177" width="1.140625" style="3" customWidth="1"/>
    <col min="4178" max="4209" width="1" style="3" customWidth="1"/>
    <col min="4210" max="4368" width="0" style="3" hidden="1" customWidth="1"/>
    <col min="4369" max="4369" width="0.140625" style="3"/>
    <col min="4370" max="4370" width="1.140625" style="3" customWidth="1"/>
    <col min="4371" max="4371" width="2.5703125" style="3" customWidth="1"/>
    <col min="4372" max="4372" width="3.85546875" style="3" customWidth="1"/>
    <col min="4373" max="4418" width="1" style="3" customWidth="1"/>
    <col min="4419" max="4433" width="1.140625" style="3" customWidth="1"/>
    <col min="4434" max="4465" width="1" style="3" customWidth="1"/>
    <col min="4466" max="4624" width="0" style="3" hidden="1" customWidth="1"/>
    <col min="4625" max="4625" width="0.140625" style="3"/>
    <col min="4626" max="4626" width="1.140625" style="3" customWidth="1"/>
    <col min="4627" max="4627" width="2.5703125" style="3" customWidth="1"/>
    <col min="4628" max="4628" width="3.85546875" style="3" customWidth="1"/>
    <col min="4629" max="4674" width="1" style="3" customWidth="1"/>
    <col min="4675" max="4689" width="1.140625" style="3" customWidth="1"/>
    <col min="4690" max="4721" width="1" style="3" customWidth="1"/>
    <col min="4722" max="4880" width="0" style="3" hidden="1" customWidth="1"/>
    <col min="4881" max="4881" width="0.140625" style="3"/>
    <col min="4882" max="4882" width="1.140625" style="3" customWidth="1"/>
    <col min="4883" max="4883" width="2.5703125" style="3" customWidth="1"/>
    <col min="4884" max="4884" width="3.85546875" style="3" customWidth="1"/>
    <col min="4885" max="4930" width="1" style="3" customWidth="1"/>
    <col min="4931" max="4945" width="1.140625" style="3" customWidth="1"/>
    <col min="4946" max="4977" width="1" style="3" customWidth="1"/>
    <col min="4978" max="5136" width="0" style="3" hidden="1" customWidth="1"/>
    <col min="5137" max="5137" width="0.140625" style="3"/>
    <col min="5138" max="5138" width="1.140625" style="3" customWidth="1"/>
    <col min="5139" max="5139" width="2.5703125" style="3" customWidth="1"/>
    <col min="5140" max="5140" width="3.85546875" style="3" customWidth="1"/>
    <col min="5141" max="5186" width="1" style="3" customWidth="1"/>
    <col min="5187" max="5201" width="1.140625" style="3" customWidth="1"/>
    <col min="5202" max="5233" width="1" style="3" customWidth="1"/>
    <col min="5234" max="5392" width="0" style="3" hidden="1" customWidth="1"/>
    <col min="5393" max="5393" width="0.140625" style="3"/>
    <col min="5394" max="5394" width="1.140625" style="3" customWidth="1"/>
    <col min="5395" max="5395" width="2.5703125" style="3" customWidth="1"/>
    <col min="5396" max="5396" width="3.85546875" style="3" customWidth="1"/>
    <col min="5397" max="5442" width="1" style="3" customWidth="1"/>
    <col min="5443" max="5457" width="1.140625" style="3" customWidth="1"/>
    <col min="5458" max="5489" width="1" style="3" customWidth="1"/>
    <col min="5490" max="5648" width="0" style="3" hidden="1" customWidth="1"/>
    <col min="5649" max="5649" width="0.140625" style="3"/>
    <col min="5650" max="5650" width="1.140625" style="3" customWidth="1"/>
    <col min="5651" max="5651" width="2.5703125" style="3" customWidth="1"/>
    <col min="5652" max="5652" width="3.85546875" style="3" customWidth="1"/>
    <col min="5653" max="5698" width="1" style="3" customWidth="1"/>
    <col min="5699" max="5713" width="1.140625" style="3" customWidth="1"/>
    <col min="5714" max="5745" width="1" style="3" customWidth="1"/>
    <col min="5746" max="5904" width="0" style="3" hidden="1" customWidth="1"/>
    <col min="5905" max="5905" width="0.140625" style="3"/>
    <col min="5906" max="5906" width="1.140625" style="3" customWidth="1"/>
    <col min="5907" max="5907" width="2.5703125" style="3" customWidth="1"/>
    <col min="5908" max="5908" width="3.85546875" style="3" customWidth="1"/>
    <col min="5909" max="5954" width="1" style="3" customWidth="1"/>
    <col min="5955" max="5969" width="1.140625" style="3" customWidth="1"/>
    <col min="5970" max="6001" width="1" style="3" customWidth="1"/>
    <col min="6002" max="6160" width="0" style="3" hidden="1" customWidth="1"/>
    <col min="6161" max="6161" width="0.140625" style="3"/>
    <col min="6162" max="6162" width="1.140625" style="3" customWidth="1"/>
    <col min="6163" max="6163" width="2.5703125" style="3" customWidth="1"/>
    <col min="6164" max="6164" width="3.85546875" style="3" customWidth="1"/>
    <col min="6165" max="6210" width="1" style="3" customWidth="1"/>
    <col min="6211" max="6225" width="1.140625" style="3" customWidth="1"/>
    <col min="6226" max="6257" width="1" style="3" customWidth="1"/>
    <col min="6258" max="6416" width="0" style="3" hidden="1" customWidth="1"/>
    <col min="6417" max="6417" width="0.140625" style="3"/>
    <col min="6418" max="6418" width="1.140625" style="3" customWidth="1"/>
    <col min="6419" max="6419" width="2.5703125" style="3" customWidth="1"/>
    <col min="6420" max="6420" width="3.85546875" style="3" customWidth="1"/>
    <col min="6421" max="6466" width="1" style="3" customWidth="1"/>
    <col min="6467" max="6481" width="1.140625" style="3" customWidth="1"/>
    <col min="6482" max="6513" width="1" style="3" customWidth="1"/>
    <col min="6514" max="6672" width="0" style="3" hidden="1" customWidth="1"/>
    <col min="6673" max="6673" width="0.140625" style="3"/>
    <col min="6674" max="6674" width="1.140625" style="3" customWidth="1"/>
    <col min="6675" max="6675" width="2.5703125" style="3" customWidth="1"/>
    <col min="6676" max="6676" width="3.85546875" style="3" customWidth="1"/>
    <col min="6677" max="6722" width="1" style="3" customWidth="1"/>
    <col min="6723" max="6737" width="1.140625" style="3" customWidth="1"/>
    <col min="6738" max="6769" width="1" style="3" customWidth="1"/>
    <col min="6770" max="6928" width="0" style="3" hidden="1" customWidth="1"/>
    <col min="6929" max="6929" width="0.140625" style="3"/>
    <col min="6930" max="6930" width="1.140625" style="3" customWidth="1"/>
    <col min="6931" max="6931" width="2.5703125" style="3" customWidth="1"/>
    <col min="6932" max="6932" width="3.85546875" style="3" customWidth="1"/>
    <col min="6933" max="6978" width="1" style="3" customWidth="1"/>
    <col min="6979" max="6993" width="1.140625" style="3" customWidth="1"/>
    <col min="6994" max="7025" width="1" style="3" customWidth="1"/>
    <col min="7026" max="7184" width="0" style="3" hidden="1" customWidth="1"/>
    <col min="7185" max="7185" width="0.140625" style="3"/>
    <col min="7186" max="7186" width="1.140625" style="3" customWidth="1"/>
    <col min="7187" max="7187" width="2.5703125" style="3" customWidth="1"/>
    <col min="7188" max="7188" width="3.85546875" style="3" customWidth="1"/>
    <col min="7189" max="7234" width="1" style="3" customWidth="1"/>
    <col min="7235" max="7249" width="1.140625" style="3" customWidth="1"/>
    <col min="7250" max="7281" width="1" style="3" customWidth="1"/>
    <col min="7282" max="7440" width="0" style="3" hidden="1" customWidth="1"/>
    <col min="7441" max="7441" width="0.140625" style="3"/>
    <col min="7442" max="7442" width="1.140625" style="3" customWidth="1"/>
    <col min="7443" max="7443" width="2.5703125" style="3" customWidth="1"/>
    <col min="7444" max="7444" width="3.85546875" style="3" customWidth="1"/>
    <col min="7445" max="7490" width="1" style="3" customWidth="1"/>
    <col min="7491" max="7505" width="1.140625" style="3" customWidth="1"/>
    <col min="7506" max="7537" width="1" style="3" customWidth="1"/>
    <col min="7538" max="7696" width="0" style="3" hidden="1" customWidth="1"/>
    <col min="7697" max="7697" width="0.140625" style="3"/>
    <col min="7698" max="7698" width="1.140625" style="3" customWidth="1"/>
    <col min="7699" max="7699" width="2.5703125" style="3" customWidth="1"/>
    <col min="7700" max="7700" width="3.85546875" style="3" customWidth="1"/>
    <col min="7701" max="7746" width="1" style="3" customWidth="1"/>
    <col min="7747" max="7761" width="1.140625" style="3" customWidth="1"/>
    <col min="7762" max="7793" width="1" style="3" customWidth="1"/>
    <col min="7794" max="7952" width="0" style="3" hidden="1" customWidth="1"/>
    <col min="7953" max="7953" width="0.140625" style="3"/>
    <col min="7954" max="7954" width="1.140625" style="3" customWidth="1"/>
    <col min="7955" max="7955" width="2.5703125" style="3" customWidth="1"/>
    <col min="7956" max="7956" width="3.85546875" style="3" customWidth="1"/>
    <col min="7957" max="8002" width="1" style="3" customWidth="1"/>
    <col min="8003" max="8017" width="1.140625" style="3" customWidth="1"/>
    <col min="8018" max="8049" width="1" style="3" customWidth="1"/>
    <col min="8050" max="8208" width="0" style="3" hidden="1" customWidth="1"/>
    <col min="8209" max="8209" width="0.140625" style="3"/>
    <col min="8210" max="8210" width="1.140625" style="3" customWidth="1"/>
    <col min="8211" max="8211" width="2.5703125" style="3" customWidth="1"/>
    <col min="8212" max="8212" width="3.85546875" style="3" customWidth="1"/>
    <col min="8213" max="8258" width="1" style="3" customWidth="1"/>
    <col min="8259" max="8273" width="1.140625" style="3" customWidth="1"/>
    <col min="8274" max="8305" width="1" style="3" customWidth="1"/>
    <col min="8306" max="8464" width="0" style="3" hidden="1" customWidth="1"/>
    <col min="8465" max="8465" width="0.140625" style="3"/>
    <col min="8466" max="8466" width="1.140625" style="3" customWidth="1"/>
    <col min="8467" max="8467" width="2.5703125" style="3" customWidth="1"/>
    <col min="8468" max="8468" width="3.85546875" style="3" customWidth="1"/>
    <col min="8469" max="8514" width="1" style="3" customWidth="1"/>
    <col min="8515" max="8529" width="1.140625" style="3" customWidth="1"/>
    <col min="8530" max="8561" width="1" style="3" customWidth="1"/>
    <col min="8562" max="8720" width="0" style="3" hidden="1" customWidth="1"/>
    <col min="8721" max="8721" width="0.140625" style="3"/>
    <col min="8722" max="8722" width="1.140625" style="3" customWidth="1"/>
    <col min="8723" max="8723" width="2.5703125" style="3" customWidth="1"/>
    <col min="8724" max="8724" width="3.85546875" style="3" customWidth="1"/>
    <col min="8725" max="8770" width="1" style="3" customWidth="1"/>
    <col min="8771" max="8785" width="1.140625" style="3" customWidth="1"/>
    <col min="8786" max="8817" width="1" style="3" customWidth="1"/>
    <col min="8818" max="8976" width="0" style="3" hidden="1" customWidth="1"/>
    <col min="8977" max="8977" width="0.140625" style="3"/>
    <col min="8978" max="8978" width="1.140625" style="3" customWidth="1"/>
    <col min="8979" max="8979" width="2.5703125" style="3" customWidth="1"/>
    <col min="8980" max="8980" width="3.85546875" style="3" customWidth="1"/>
    <col min="8981" max="9026" width="1" style="3" customWidth="1"/>
    <col min="9027" max="9041" width="1.140625" style="3" customWidth="1"/>
    <col min="9042" max="9073" width="1" style="3" customWidth="1"/>
    <col min="9074" max="9232" width="0" style="3" hidden="1" customWidth="1"/>
    <col min="9233" max="9233" width="0.140625" style="3"/>
    <col min="9234" max="9234" width="1.140625" style="3" customWidth="1"/>
    <col min="9235" max="9235" width="2.5703125" style="3" customWidth="1"/>
    <col min="9236" max="9236" width="3.85546875" style="3" customWidth="1"/>
    <col min="9237" max="9282" width="1" style="3" customWidth="1"/>
    <col min="9283" max="9297" width="1.140625" style="3" customWidth="1"/>
    <col min="9298" max="9329" width="1" style="3" customWidth="1"/>
    <col min="9330" max="9488" width="0" style="3" hidden="1" customWidth="1"/>
    <col min="9489" max="9489" width="0.140625" style="3"/>
    <col min="9490" max="9490" width="1.140625" style="3" customWidth="1"/>
    <col min="9491" max="9491" width="2.5703125" style="3" customWidth="1"/>
    <col min="9492" max="9492" width="3.85546875" style="3" customWidth="1"/>
    <col min="9493" max="9538" width="1" style="3" customWidth="1"/>
    <col min="9539" max="9553" width="1.140625" style="3" customWidth="1"/>
    <col min="9554" max="9585" width="1" style="3" customWidth="1"/>
    <col min="9586" max="9744" width="0" style="3" hidden="1" customWidth="1"/>
    <col min="9745" max="9745" width="0.140625" style="3"/>
    <col min="9746" max="9746" width="1.140625" style="3" customWidth="1"/>
    <col min="9747" max="9747" width="2.5703125" style="3" customWidth="1"/>
    <col min="9748" max="9748" width="3.85546875" style="3" customWidth="1"/>
    <col min="9749" max="9794" width="1" style="3" customWidth="1"/>
    <col min="9795" max="9809" width="1.140625" style="3" customWidth="1"/>
    <col min="9810" max="9841" width="1" style="3" customWidth="1"/>
    <col min="9842" max="10000" width="0" style="3" hidden="1" customWidth="1"/>
    <col min="10001" max="10001" width="0.140625" style="3"/>
    <col min="10002" max="10002" width="1.140625" style="3" customWidth="1"/>
    <col min="10003" max="10003" width="2.5703125" style="3" customWidth="1"/>
    <col min="10004" max="10004" width="3.85546875" style="3" customWidth="1"/>
    <col min="10005" max="10050" width="1" style="3" customWidth="1"/>
    <col min="10051" max="10065" width="1.140625" style="3" customWidth="1"/>
    <col min="10066" max="10097" width="1" style="3" customWidth="1"/>
    <col min="10098" max="10256" width="0" style="3" hidden="1" customWidth="1"/>
    <col min="10257" max="10257" width="0.140625" style="3"/>
    <col min="10258" max="10258" width="1.140625" style="3" customWidth="1"/>
    <col min="10259" max="10259" width="2.5703125" style="3" customWidth="1"/>
    <col min="10260" max="10260" width="3.85546875" style="3" customWidth="1"/>
    <col min="10261" max="10306" width="1" style="3" customWidth="1"/>
    <col min="10307" max="10321" width="1.140625" style="3" customWidth="1"/>
    <col min="10322" max="10353" width="1" style="3" customWidth="1"/>
    <col min="10354" max="10512" width="0" style="3" hidden="1" customWidth="1"/>
    <col min="10513" max="10513" width="0.140625" style="3"/>
    <col min="10514" max="10514" width="1.140625" style="3" customWidth="1"/>
    <col min="10515" max="10515" width="2.5703125" style="3" customWidth="1"/>
    <col min="10516" max="10516" width="3.85546875" style="3" customWidth="1"/>
    <col min="10517" max="10562" width="1" style="3" customWidth="1"/>
    <col min="10563" max="10577" width="1.140625" style="3" customWidth="1"/>
    <col min="10578" max="10609" width="1" style="3" customWidth="1"/>
    <col min="10610" max="10768" width="0" style="3" hidden="1" customWidth="1"/>
    <col min="10769" max="10769" width="0.140625" style="3"/>
    <col min="10770" max="10770" width="1.140625" style="3" customWidth="1"/>
    <col min="10771" max="10771" width="2.5703125" style="3" customWidth="1"/>
    <col min="10772" max="10772" width="3.85546875" style="3" customWidth="1"/>
    <col min="10773" max="10818" width="1" style="3" customWidth="1"/>
    <col min="10819" max="10833" width="1.140625" style="3" customWidth="1"/>
    <col min="10834" max="10865" width="1" style="3" customWidth="1"/>
    <col min="10866" max="11024" width="0" style="3" hidden="1" customWidth="1"/>
    <col min="11025" max="11025" width="0.140625" style="3"/>
    <col min="11026" max="11026" width="1.140625" style="3" customWidth="1"/>
    <col min="11027" max="11027" width="2.5703125" style="3" customWidth="1"/>
    <col min="11028" max="11028" width="3.85546875" style="3" customWidth="1"/>
    <col min="11029" max="11074" width="1" style="3" customWidth="1"/>
    <col min="11075" max="11089" width="1.140625" style="3" customWidth="1"/>
    <col min="11090" max="11121" width="1" style="3" customWidth="1"/>
    <col min="11122" max="11280" width="0" style="3" hidden="1" customWidth="1"/>
    <col min="11281" max="11281" width="0.140625" style="3"/>
    <col min="11282" max="11282" width="1.140625" style="3" customWidth="1"/>
    <col min="11283" max="11283" width="2.5703125" style="3" customWidth="1"/>
    <col min="11284" max="11284" width="3.85546875" style="3" customWidth="1"/>
    <col min="11285" max="11330" width="1" style="3" customWidth="1"/>
    <col min="11331" max="11345" width="1.140625" style="3" customWidth="1"/>
    <col min="11346" max="11377" width="1" style="3" customWidth="1"/>
    <col min="11378" max="11536" width="0" style="3" hidden="1" customWidth="1"/>
    <col min="11537" max="11537" width="0.140625" style="3"/>
    <col min="11538" max="11538" width="1.140625" style="3" customWidth="1"/>
    <col min="11539" max="11539" width="2.5703125" style="3" customWidth="1"/>
    <col min="11540" max="11540" width="3.85546875" style="3" customWidth="1"/>
    <col min="11541" max="11586" width="1" style="3" customWidth="1"/>
    <col min="11587" max="11601" width="1.140625" style="3" customWidth="1"/>
    <col min="11602" max="11633" width="1" style="3" customWidth="1"/>
    <col min="11634" max="11792" width="0" style="3" hidden="1" customWidth="1"/>
    <col min="11793" max="11793" width="0.140625" style="3"/>
    <col min="11794" max="11794" width="1.140625" style="3" customWidth="1"/>
    <col min="11795" max="11795" width="2.5703125" style="3" customWidth="1"/>
    <col min="11796" max="11796" width="3.85546875" style="3" customWidth="1"/>
    <col min="11797" max="11842" width="1" style="3" customWidth="1"/>
    <col min="11843" max="11857" width="1.140625" style="3" customWidth="1"/>
    <col min="11858" max="11889" width="1" style="3" customWidth="1"/>
    <col min="11890" max="12048" width="0" style="3" hidden="1" customWidth="1"/>
    <col min="12049" max="12049" width="0.140625" style="3"/>
    <col min="12050" max="12050" width="1.140625" style="3" customWidth="1"/>
    <col min="12051" max="12051" width="2.5703125" style="3" customWidth="1"/>
    <col min="12052" max="12052" width="3.85546875" style="3" customWidth="1"/>
    <col min="12053" max="12098" width="1" style="3" customWidth="1"/>
    <col min="12099" max="12113" width="1.140625" style="3" customWidth="1"/>
    <col min="12114" max="12145" width="1" style="3" customWidth="1"/>
    <col min="12146" max="12304" width="0" style="3" hidden="1" customWidth="1"/>
    <col min="12305" max="12305" width="0.140625" style="3"/>
    <col min="12306" max="12306" width="1.140625" style="3" customWidth="1"/>
    <col min="12307" max="12307" width="2.5703125" style="3" customWidth="1"/>
    <col min="12308" max="12308" width="3.85546875" style="3" customWidth="1"/>
    <col min="12309" max="12354" width="1" style="3" customWidth="1"/>
    <col min="12355" max="12369" width="1.140625" style="3" customWidth="1"/>
    <col min="12370" max="12401" width="1" style="3" customWidth="1"/>
    <col min="12402" max="12560" width="0" style="3" hidden="1" customWidth="1"/>
    <col min="12561" max="12561" width="0.140625" style="3"/>
    <col min="12562" max="12562" width="1.140625" style="3" customWidth="1"/>
    <col min="12563" max="12563" width="2.5703125" style="3" customWidth="1"/>
    <col min="12564" max="12564" width="3.85546875" style="3" customWidth="1"/>
    <col min="12565" max="12610" width="1" style="3" customWidth="1"/>
    <col min="12611" max="12625" width="1.140625" style="3" customWidth="1"/>
    <col min="12626" max="12657" width="1" style="3" customWidth="1"/>
    <col min="12658" max="12816" width="0" style="3" hidden="1" customWidth="1"/>
    <col min="12817" max="12817" width="0.140625" style="3"/>
    <col min="12818" max="12818" width="1.140625" style="3" customWidth="1"/>
    <col min="12819" max="12819" width="2.5703125" style="3" customWidth="1"/>
    <col min="12820" max="12820" width="3.85546875" style="3" customWidth="1"/>
    <col min="12821" max="12866" width="1" style="3" customWidth="1"/>
    <col min="12867" max="12881" width="1.140625" style="3" customWidth="1"/>
    <col min="12882" max="12913" width="1" style="3" customWidth="1"/>
    <col min="12914" max="13072" width="0" style="3" hidden="1" customWidth="1"/>
    <col min="13073" max="13073" width="0.140625" style="3"/>
    <col min="13074" max="13074" width="1.140625" style="3" customWidth="1"/>
    <col min="13075" max="13075" width="2.5703125" style="3" customWidth="1"/>
    <col min="13076" max="13076" width="3.85546875" style="3" customWidth="1"/>
    <col min="13077" max="13122" width="1" style="3" customWidth="1"/>
    <col min="13123" max="13137" width="1.140625" style="3" customWidth="1"/>
    <col min="13138" max="13169" width="1" style="3" customWidth="1"/>
    <col min="13170" max="13328" width="0" style="3" hidden="1" customWidth="1"/>
    <col min="13329" max="13329" width="0.140625" style="3"/>
    <col min="13330" max="13330" width="1.140625" style="3" customWidth="1"/>
    <col min="13331" max="13331" width="2.5703125" style="3" customWidth="1"/>
    <col min="13332" max="13332" width="3.85546875" style="3" customWidth="1"/>
    <col min="13333" max="13378" width="1" style="3" customWidth="1"/>
    <col min="13379" max="13393" width="1.140625" style="3" customWidth="1"/>
    <col min="13394" max="13425" width="1" style="3" customWidth="1"/>
    <col min="13426" max="13584" width="0" style="3" hidden="1" customWidth="1"/>
    <col min="13585" max="13585" width="0.140625" style="3"/>
    <col min="13586" max="13586" width="1.140625" style="3" customWidth="1"/>
    <col min="13587" max="13587" width="2.5703125" style="3" customWidth="1"/>
    <col min="13588" max="13588" width="3.85546875" style="3" customWidth="1"/>
    <col min="13589" max="13634" width="1" style="3" customWidth="1"/>
    <col min="13635" max="13649" width="1.140625" style="3" customWidth="1"/>
    <col min="13650" max="13681" width="1" style="3" customWidth="1"/>
    <col min="13682" max="13840" width="0" style="3" hidden="1" customWidth="1"/>
    <col min="13841" max="13841" width="0.140625" style="3"/>
    <col min="13842" max="13842" width="1.140625" style="3" customWidth="1"/>
    <col min="13843" max="13843" width="2.5703125" style="3" customWidth="1"/>
    <col min="13844" max="13844" width="3.85546875" style="3" customWidth="1"/>
    <col min="13845" max="13890" width="1" style="3" customWidth="1"/>
    <col min="13891" max="13905" width="1.140625" style="3" customWidth="1"/>
    <col min="13906" max="13937" width="1" style="3" customWidth="1"/>
    <col min="13938" max="14096" width="0" style="3" hidden="1" customWidth="1"/>
    <col min="14097" max="14097" width="0.140625" style="3"/>
    <col min="14098" max="14098" width="1.140625" style="3" customWidth="1"/>
    <col min="14099" max="14099" width="2.5703125" style="3" customWidth="1"/>
    <col min="14100" max="14100" width="3.85546875" style="3" customWidth="1"/>
    <col min="14101" max="14146" width="1" style="3" customWidth="1"/>
    <col min="14147" max="14161" width="1.140625" style="3" customWidth="1"/>
    <col min="14162" max="14193" width="1" style="3" customWidth="1"/>
    <col min="14194" max="14352" width="0" style="3" hidden="1" customWidth="1"/>
    <col min="14353" max="14353" width="0.140625" style="3"/>
    <col min="14354" max="14354" width="1.140625" style="3" customWidth="1"/>
    <col min="14355" max="14355" width="2.5703125" style="3" customWidth="1"/>
    <col min="14356" max="14356" width="3.85546875" style="3" customWidth="1"/>
    <col min="14357" max="14402" width="1" style="3" customWidth="1"/>
    <col min="14403" max="14417" width="1.140625" style="3" customWidth="1"/>
    <col min="14418" max="14449" width="1" style="3" customWidth="1"/>
    <col min="14450" max="14608" width="0" style="3" hidden="1" customWidth="1"/>
    <col min="14609" max="14609" width="0.140625" style="3"/>
    <col min="14610" max="14610" width="1.140625" style="3" customWidth="1"/>
    <col min="14611" max="14611" width="2.5703125" style="3" customWidth="1"/>
    <col min="14612" max="14612" width="3.85546875" style="3" customWidth="1"/>
    <col min="14613" max="14658" width="1" style="3" customWidth="1"/>
    <col min="14659" max="14673" width="1.140625" style="3" customWidth="1"/>
    <col min="14674" max="14705" width="1" style="3" customWidth="1"/>
    <col min="14706" max="14864" width="0" style="3" hidden="1" customWidth="1"/>
    <col min="14865" max="14865" width="0.140625" style="3"/>
    <col min="14866" max="14866" width="1.140625" style="3" customWidth="1"/>
    <col min="14867" max="14867" width="2.5703125" style="3" customWidth="1"/>
    <col min="14868" max="14868" width="3.85546875" style="3" customWidth="1"/>
    <col min="14869" max="14914" width="1" style="3" customWidth="1"/>
    <col min="14915" max="14929" width="1.140625" style="3" customWidth="1"/>
    <col min="14930" max="14961" width="1" style="3" customWidth="1"/>
    <col min="14962" max="15120" width="0" style="3" hidden="1" customWidth="1"/>
    <col min="15121" max="15121" width="0.140625" style="3"/>
    <col min="15122" max="15122" width="1.140625" style="3" customWidth="1"/>
    <col min="15123" max="15123" width="2.5703125" style="3" customWidth="1"/>
    <col min="15124" max="15124" width="3.85546875" style="3" customWidth="1"/>
    <col min="15125" max="15170" width="1" style="3" customWidth="1"/>
    <col min="15171" max="15185" width="1.140625" style="3" customWidth="1"/>
    <col min="15186" max="15217" width="1" style="3" customWidth="1"/>
    <col min="15218" max="15376" width="0" style="3" hidden="1" customWidth="1"/>
    <col min="15377" max="15377" width="0.140625" style="3"/>
    <col min="15378" max="15378" width="1.140625" style="3" customWidth="1"/>
    <col min="15379" max="15379" width="2.5703125" style="3" customWidth="1"/>
    <col min="15380" max="15380" width="3.85546875" style="3" customWidth="1"/>
    <col min="15381" max="15426" width="1" style="3" customWidth="1"/>
    <col min="15427" max="15441" width="1.140625" style="3" customWidth="1"/>
    <col min="15442" max="15473" width="1" style="3" customWidth="1"/>
    <col min="15474" max="15632" width="0" style="3" hidden="1" customWidth="1"/>
    <col min="15633" max="15633" width="0.140625" style="3"/>
    <col min="15634" max="15634" width="1.140625" style="3" customWidth="1"/>
    <col min="15635" max="15635" width="2.5703125" style="3" customWidth="1"/>
    <col min="15636" max="15636" width="3.85546875" style="3" customWidth="1"/>
    <col min="15637" max="15682" width="1" style="3" customWidth="1"/>
    <col min="15683" max="15697" width="1.140625" style="3" customWidth="1"/>
    <col min="15698" max="15729" width="1" style="3" customWidth="1"/>
    <col min="15730" max="15888" width="0" style="3" hidden="1" customWidth="1"/>
    <col min="15889" max="15889" width="0.140625" style="3"/>
    <col min="15890" max="15890" width="1.140625" style="3" customWidth="1"/>
    <col min="15891" max="15891" width="2.5703125" style="3" customWidth="1"/>
    <col min="15892" max="15892" width="3.85546875" style="3" customWidth="1"/>
    <col min="15893" max="15938" width="1" style="3" customWidth="1"/>
    <col min="15939" max="15953" width="1.140625" style="3" customWidth="1"/>
    <col min="15954" max="15985" width="1" style="3" customWidth="1"/>
    <col min="15986" max="16144" width="0" style="3" hidden="1" customWidth="1"/>
    <col min="16145" max="16384" width="0.140625" style="3"/>
  </cols>
  <sheetData>
    <row r="1" spans="1:20" ht="54" customHeight="1" thickBot="1">
      <c r="A1" s="2"/>
      <c r="B1" s="8"/>
      <c r="C1" s="8"/>
      <c r="D1" s="97" t="s">
        <v>14</v>
      </c>
      <c r="E1" s="98"/>
      <c r="F1" s="98"/>
      <c r="G1" s="99"/>
      <c r="H1" s="71" t="s">
        <v>11</v>
      </c>
      <c r="I1" s="72"/>
      <c r="J1" s="72"/>
      <c r="K1" s="72"/>
      <c r="L1" s="72"/>
      <c r="M1" s="73"/>
      <c r="N1" s="137" t="s">
        <v>15</v>
      </c>
      <c r="O1" s="138"/>
      <c r="P1" s="138"/>
      <c r="Q1" s="138"/>
      <c r="R1" s="139"/>
      <c r="S1" s="97" t="s">
        <v>16</v>
      </c>
      <c r="T1" s="99"/>
    </row>
    <row r="2" spans="1:20" ht="24.6" customHeight="1">
      <c r="A2" s="2"/>
      <c r="B2" s="8"/>
      <c r="C2" s="8"/>
      <c r="D2" s="140">
        <f>Таблица!A2</f>
        <v>0</v>
      </c>
      <c r="E2" s="50"/>
      <c r="F2" s="50"/>
      <c r="G2" s="51"/>
      <c r="H2" s="140">
        <f>Таблица!B2</f>
        <v>0</v>
      </c>
      <c r="I2" s="50"/>
      <c r="J2" s="50"/>
      <c r="K2" s="50"/>
      <c r="L2" s="50"/>
      <c r="M2" s="51"/>
      <c r="N2" s="141">
        <f>Таблица!C2</f>
        <v>0</v>
      </c>
      <c r="O2" s="142"/>
      <c r="P2" s="142"/>
      <c r="Q2" s="142"/>
      <c r="R2" s="143"/>
      <c r="S2" s="144">
        <f>Таблица!D2</f>
        <v>0</v>
      </c>
      <c r="T2" s="53"/>
    </row>
    <row r="3" spans="1:20" ht="24.6" customHeight="1">
      <c r="A3" s="2"/>
      <c r="B3" s="8"/>
      <c r="C3" s="8"/>
      <c r="D3" s="39">
        <f>Таблица!A3</f>
        <v>0</v>
      </c>
      <c r="E3" s="40"/>
      <c r="F3" s="40"/>
      <c r="G3" s="41"/>
      <c r="H3" s="39">
        <f>Таблица!B3</f>
        <v>0</v>
      </c>
      <c r="I3" s="40"/>
      <c r="J3" s="40"/>
      <c r="K3" s="40"/>
      <c r="L3" s="40"/>
      <c r="M3" s="41"/>
      <c r="N3" s="131">
        <f>Таблица!C3</f>
        <v>0</v>
      </c>
      <c r="O3" s="132"/>
      <c r="P3" s="132"/>
      <c r="Q3" s="132"/>
      <c r="R3" s="133"/>
      <c r="S3" s="42">
        <f>Таблица!D3</f>
        <v>0</v>
      </c>
      <c r="T3" s="43"/>
    </row>
    <row r="4" spans="1:20" ht="24.6" customHeight="1">
      <c r="A4" s="2"/>
      <c r="B4" s="8"/>
      <c r="C4" s="8"/>
      <c r="D4" s="39">
        <f>Таблица!A4</f>
        <v>0</v>
      </c>
      <c r="E4" s="40"/>
      <c r="F4" s="40"/>
      <c r="G4" s="41"/>
      <c r="H4" s="39">
        <f>Таблица!B4</f>
        <v>0</v>
      </c>
      <c r="I4" s="40"/>
      <c r="J4" s="40"/>
      <c r="K4" s="40"/>
      <c r="L4" s="40"/>
      <c r="M4" s="41"/>
      <c r="N4" s="131">
        <f>Таблица!C4</f>
        <v>0</v>
      </c>
      <c r="O4" s="132"/>
      <c r="P4" s="132"/>
      <c r="Q4" s="132"/>
      <c r="R4" s="133"/>
      <c r="S4" s="42">
        <f>Таблица!D4</f>
        <v>0</v>
      </c>
      <c r="T4" s="43"/>
    </row>
    <row r="5" spans="1:20" ht="24.6" customHeight="1">
      <c r="A5" s="2"/>
      <c r="B5" s="8"/>
      <c r="C5" s="8"/>
      <c r="D5" s="39">
        <f>Таблица!A5</f>
        <v>0</v>
      </c>
      <c r="E5" s="40"/>
      <c r="F5" s="40"/>
      <c r="G5" s="41"/>
      <c r="H5" s="39">
        <f>Таблица!B5</f>
        <v>0</v>
      </c>
      <c r="I5" s="40"/>
      <c r="J5" s="40"/>
      <c r="K5" s="40"/>
      <c r="L5" s="40"/>
      <c r="M5" s="41"/>
      <c r="N5" s="131">
        <f>Таблица!C5</f>
        <v>0</v>
      </c>
      <c r="O5" s="132"/>
      <c r="P5" s="132"/>
      <c r="Q5" s="132"/>
      <c r="R5" s="133"/>
      <c r="S5" s="42">
        <f>Таблица!D5</f>
        <v>0</v>
      </c>
      <c r="T5" s="43"/>
    </row>
    <row r="6" spans="1:20" ht="24.6" customHeight="1">
      <c r="A6" s="2"/>
      <c r="B6" s="8"/>
      <c r="C6" s="8"/>
      <c r="D6" s="39">
        <f>Таблица!A6</f>
        <v>0</v>
      </c>
      <c r="E6" s="40"/>
      <c r="F6" s="40"/>
      <c r="G6" s="41"/>
      <c r="H6" s="39">
        <f>Таблица!B6</f>
        <v>0</v>
      </c>
      <c r="I6" s="40"/>
      <c r="J6" s="40"/>
      <c r="K6" s="40"/>
      <c r="L6" s="40"/>
      <c r="M6" s="41"/>
      <c r="N6" s="131">
        <f>Таблица!C6</f>
        <v>0</v>
      </c>
      <c r="O6" s="132"/>
      <c r="P6" s="132"/>
      <c r="Q6" s="132"/>
      <c r="R6" s="133"/>
      <c r="S6" s="42">
        <f>Таблица!D6</f>
        <v>0</v>
      </c>
      <c r="T6" s="43"/>
    </row>
    <row r="7" spans="1:20" ht="24.6" customHeight="1">
      <c r="A7" s="2"/>
      <c r="B7" s="8"/>
      <c r="C7" s="8"/>
      <c r="D7" s="39">
        <f>Таблица!A7</f>
        <v>0</v>
      </c>
      <c r="E7" s="40"/>
      <c r="F7" s="40"/>
      <c r="G7" s="41"/>
      <c r="H7" s="39">
        <f>Таблица!B7</f>
        <v>0</v>
      </c>
      <c r="I7" s="40"/>
      <c r="J7" s="40"/>
      <c r="K7" s="40"/>
      <c r="L7" s="40"/>
      <c r="M7" s="41"/>
      <c r="N7" s="131">
        <f>Таблица!C7</f>
        <v>0</v>
      </c>
      <c r="O7" s="132"/>
      <c r="P7" s="132"/>
      <c r="Q7" s="132"/>
      <c r="R7" s="133"/>
      <c r="S7" s="42">
        <f>Таблица!D7</f>
        <v>0</v>
      </c>
      <c r="T7" s="43"/>
    </row>
    <row r="8" spans="1:20" ht="24.6" customHeight="1">
      <c r="A8" s="2"/>
      <c r="B8" s="8"/>
      <c r="C8" s="8"/>
      <c r="D8" s="39">
        <f>Таблица!A8</f>
        <v>0</v>
      </c>
      <c r="E8" s="40"/>
      <c r="F8" s="40"/>
      <c r="G8" s="41"/>
      <c r="H8" s="39">
        <f>Таблица!B8</f>
        <v>0</v>
      </c>
      <c r="I8" s="40"/>
      <c r="J8" s="40"/>
      <c r="K8" s="40"/>
      <c r="L8" s="40"/>
      <c r="M8" s="41"/>
      <c r="N8" s="131">
        <f>Таблица!C8</f>
        <v>0</v>
      </c>
      <c r="O8" s="132"/>
      <c r="P8" s="132"/>
      <c r="Q8" s="132"/>
      <c r="R8" s="133"/>
      <c r="S8" s="42">
        <f>Таблица!D8</f>
        <v>0</v>
      </c>
      <c r="T8" s="43"/>
    </row>
    <row r="9" spans="1:20" ht="24.6" customHeight="1">
      <c r="A9" s="2"/>
      <c r="B9" s="8"/>
      <c r="C9" s="8"/>
      <c r="D9" s="39">
        <f>Таблица!A9</f>
        <v>0</v>
      </c>
      <c r="E9" s="40"/>
      <c r="F9" s="40"/>
      <c r="G9" s="41"/>
      <c r="H9" s="39">
        <f>Таблица!B9</f>
        <v>0</v>
      </c>
      <c r="I9" s="40"/>
      <c r="J9" s="40"/>
      <c r="K9" s="40"/>
      <c r="L9" s="40"/>
      <c r="M9" s="41"/>
      <c r="N9" s="131">
        <f>Таблица!C9</f>
        <v>0</v>
      </c>
      <c r="O9" s="132"/>
      <c r="P9" s="132"/>
      <c r="Q9" s="132"/>
      <c r="R9" s="133"/>
      <c r="S9" s="42">
        <f>Таблица!D9</f>
        <v>0</v>
      </c>
      <c r="T9" s="43"/>
    </row>
    <row r="10" spans="1:20" ht="24.6" customHeight="1">
      <c r="A10" s="2"/>
      <c r="B10" s="8"/>
      <c r="C10" s="8"/>
      <c r="D10" s="39">
        <f>Таблица!A10</f>
        <v>0</v>
      </c>
      <c r="E10" s="40"/>
      <c r="F10" s="40"/>
      <c r="G10" s="41"/>
      <c r="H10" s="39">
        <f>Таблица!B10</f>
        <v>0</v>
      </c>
      <c r="I10" s="40"/>
      <c r="J10" s="40"/>
      <c r="K10" s="40"/>
      <c r="L10" s="40"/>
      <c r="M10" s="41"/>
      <c r="N10" s="131">
        <f>Таблица!C10</f>
        <v>0</v>
      </c>
      <c r="O10" s="132"/>
      <c r="P10" s="132"/>
      <c r="Q10" s="132"/>
      <c r="R10" s="133"/>
      <c r="S10" s="42">
        <f>Таблица!D10</f>
        <v>0</v>
      </c>
      <c r="T10" s="43"/>
    </row>
    <row r="11" spans="1:20" ht="24.6" customHeight="1">
      <c r="A11" s="2"/>
      <c r="B11" s="8"/>
      <c r="C11" s="8"/>
      <c r="D11" s="39">
        <f>Таблица!A11</f>
        <v>0</v>
      </c>
      <c r="E11" s="40"/>
      <c r="F11" s="40"/>
      <c r="G11" s="41"/>
      <c r="H11" s="39">
        <f>Таблица!B11</f>
        <v>0</v>
      </c>
      <c r="I11" s="40"/>
      <c r="J11" s="40"/>
      <c r="K11" s="40"/>
      <c r="L11" s="40"/>
      <c r="M11" s="41"/>
      <c r="N11" s="131">
        <f>Таблица!C11</f>
        <v>0</v>
      </c>
      <c r="O11" s="132"/>
      <c r="P11" s="132"/>
      <c r="Q11" s="132"/>
      <c r="R11" s="133"/>
      <c r="S11" s="42">
        <f>Таблица!D11</f>
        <v>0</v>
      </c>
      <c r="T11" s="43"/>
    </row>
    <row r="12" spans="1:20" ht="24.6" customHeight="1">
      <c r="A12" s="2"/>
      <c r="B12" s="8"/>
      <c r="C12" s="8"/>
      <c r="D12" s="39">
        <f>Таблица!A12</f>
        <v>0</v>
      </c>
      <c r="E12" s="40"/>
      <c r="F12" s="40"/>
      <c r="G12" s="41"/>
      <c r="H12" s="39">
        <f>Таблица!B12</f>
        <v>0</v>
      </c>
      <c r="I12" s="40"/>
      <c r="J12" s="40"/>
      <c r="K12" s="40"/>
      <c r="L12" s="40"/>
      <c r="M12" s="41"/>
      <c r="N12" s="131">
        <f>Таблица!C12</f>
        <v>0</v>
      </c>
      <c r="O12" s="132"/>
      <c r="P12" s="132"/>
      <c r="Q12" s="132"/>
      <c r="R12" s="133"/>
      <c r="S12" s="42">
        <f>Таблица!D12</f>
        <v>0</v>
      </c>
      <c r="T12" s="43"/>
    </row>
    <row r="13" spans="1:20" ht="24.6" customHeight="1">
      <c r="A13" s="2"/>
      <c r="B13" s="8"/>
      <c r="C13" s="8"/>
      <c r="D13" s="39">
        <f>Таблица!A13</f>
        <v>0</v>
      </c>
      <c r="E13" s="40"/>
      <c r="F13" s="40"/>
      <c r="G13" s="41"/>
      <c r="H13" s="39">
        <f>Таблица!B13</f>
        <v>0</v>
      </c>
      <c r="I13" s="40"/>
      <c r="J13" s="40"/>
      <c r="K13" s="40"/>
      <c r="L13" s="40"/>
      <c r="M13" s="41"/>
      <c r="N13" s="131">
        <f>Таблица!C13</f>
        <v>0</v>
      </c>
      <c r="O13" s="132"/>
      <c r="P13" s="132"/>
      <c r="Q13" s="132"/>
      <c r="R13" s="133"/>
      <c r="S13" s="42">
        <f>Таблица!D13</f>
        <v>0</v>
      </c>
      <c r="T13" s="43"/>
    </row>
    <row r="14" spans="1:20" ht="24.6" customHeight="1" thickBot="1">
      <c r="A14" s="2"/>
      <c r="B14" s="8"/>
      <c r="C14" s="8"/>
      <c r="D14" s="39">
        <f>Таблица!A14</f>
        <v>0</v>
      </c>
      <c r="E14" s="40"/>
      <c r="F14" s="40"/>
      <c r="G14" s="41"/>
      <c r="H14" s="39">
        <f>Таблица!B14</f>
        <v>0</v>
      </c>
      <c r="I14" s="40"/>
      <c r="J14" s="40"/>
      <c r="K14" s="40"/>
      <c r="L14" s="40"/>
      <c r="M14" s="41"/>
      <c r="N14" s="131">
        <f>Таблица!C14</f>
        <v>0</v>
      </c>
      <c r="O14" s="132"/>
      <c r="P14" s="132"/>
      <c r="Q14" s="132"/>
      <c r="R14" s="133"/>
      <c r="S14" s="42">
        <f>Таблица!D14</f>
        <v>0</v>
      </c>
      <c r="T14" s="43"/>
    </row>
    <row r="15" spans="1:20" ht="24.6" customHeight="1">
      <c r="A15" s="2"/>
      <c r="B15" s="100" t="s">
        <v>17</v>
      </c>
      <c r="C15" s="118"/>
      <c r="D15" s="39">
        <f>Таблица!A15</f>
        <v>0</v>
      </c>
      <c r="E15" s="40"/>
      <c r="F15" s="40"/>
      <c r="G15" s="41"/>
      <c r="H15" s="39">
        <f>Таблица!B15</f>
        <v>0</v>
      </c>
      <c r="I15" s="40"/>
      <c r="J15" s="40"/>
      <c r="K15" s="40"/>
      <c r="L15" s="40"/>
      <c r="M15" s="41"/>
      <c r="N15" s="131">
        <f>Таблица!C15</f>
        <v>0</v>
      </c>
      <c r="O15" s="132"/>
      <c r="P15" s="132"/>
      <c r="Q15" s="132"/>
      <c r="R15" s="133"/>
      <c r="S15" s="42">
        <f>Таблица!D15</f>
        <v>0</v>
      </c>
      <c r="T15" s="43"/>
    </row>
    <row r="16" spans="1:20" ht="24.6" customHeight="1">
      <c r="A16" s="2"/>
      <c r="B16" s="101"/>
      <c r="C16" s="119"/>
      <c r="D16" s="39">
        <f>Таблица!A16</f>
        <v>0</v>
      </c>
      <c r="E16" s="40"/>
      <c r="F16" s="40"/>
      <c r="G16" s="41"/>
      <c r="H16" s="39">
        <f>Таблица!B16</f>
        <v>0</v>
      </c>
      <c r="I16" s="40"/>
      <c r="J16" s="40"/>
      <c r="K16" s="40"/>
      <c r="L16" s="40"/>
      <c r="M16" s="41"/>
      <c r="N16" s="131">
        <f>Таблица!C16</f>
        <v>0</v>
      </c>
      <c r="O16" s="132"/>
      <c r="P16" s="132"/>
      <c r="Q16" s="132"/>
      <c r="R16" s="133"/>
      <c r="S16" s="42">
        <f>Таблица!D16</f>
        <v>0</v>
      </c>
      <c r="T16" s="43"/>
    </row>
    <row r="17" spans="1:20" ht="24.6" customHeight="1">
      <c r="A17" s="2"/>
      <c r="B17" s="101"/>
      <c r="C17" s="119"/>
      <c r="D17" s="39">
        <f>Таблица!A17</f>
        <v>0</v>
      </c>
      <c r="E17" s="40"/>
      <c r="F17" s="40"/>
      <c r="G17" s="41"/>
      <c r="H17" s="39">
        <f>Таблица!B17</f>
        <v>0</v>
      </c>
      <c r="I17" s="40"/>
      <c r="J17" s="40"/>
      <c r="K17" s="40"/>
      <c r="L17" s="40"/>
      <c r="M17" s="41"/>
      <c r="N17" s="131">
        <f>Таблица!C17</f>
        <v>0</v>
      </c>
      <c r="O17" s="132"/>
      <c r="P17" s="132"/>
      <c r="Q17" s="132"/>
      <c r="R17" s="133"/>
      <c r="S17" s="42">
        <f>Таблица!D17</f>
        <v>0</v>
      </c>
      <c r="T17" s="43"/>
    </row>
    <row r="18" spans="1:20" ht="24.6" customHeight="1">
      <c r="A18" s="2"/>
      <c r="B18" s="101"/>
      <c r="C18" s="119"/>
      <c r="D18" s="39">
        <f>Таблица!A18</f>
        <v>0</v>
      </c>
      <c r="E18" s="40"/>
      <c r="F18" s="40"/>
      <c r="G18" s="41"/>
      <c r="H18" s="39">
        <f>Таблица!B18</f>
        <v>0</v>
      </c>
      <c r="I18" s="40"/>
      <c r="J18" s="40"/>
      <c r="K18" s="40"/>
      <c r="L18" s="40"/>
      <c r="M18" s="41"/>
      <c r="N18" s="131">
        <f>Таблица!C18</f>
        <v>0</v>
      </c>
      <c r="O18" s="132"/>
      <c r="P18" s="132"/>
      <c r="Q18" s="132"/>
      <c r="R18" s="133"/>
      <c r="S18" s="42">
        <f>Таблица!D18</f>
        <v>0</v>
      </c>
      <c r="T18" s="43"/>
    </row>
    <row r="19" spans="1:20" ht="24.6" customHeight="1" thickBot="1">
      <c r="A19" s="2"/>
      <c r="B19" s="102"/>
      <c r="C19" s="120"/>
      <c r="D19" s="39">
        <f>Таблица!A19</f>
        <v>0</v>
      </c>
      <c r="E19" s="40"/>
      <c r="F19" s="40"/>
      <c r="G19" s="41"/>
      <c r="H19" s="39">
        <f>Таблица!B19</f>
        <v>0</v>
      </c>
      <c r="I19" s="40"/>
      <c r="J19" s="40"/>
      <c r="K19" s="40"/>
      <c r="L19" s="40"/>
      <c r="M19" s="41"/>
      <c r="N19" s="131">
        <f>Таблица!C19</f>
        <v>0</v>
      </c>
      <c r="O19" s="132"/>
      <c r="P19" s="132"/>
      <c r="Q19" s="132"/>
      <c r="R19" s="133"/>
      <c r="S19" s="42">
        <f>Таблица!D19</f>
        <v>0</v>
      </c>
      <c r="T19" s="43"/>
    </row>
    <row r="20" spans="1:20" ht="24.6" customHeight="1">
      <c r="A20" s="2"/>
      <c r="B20" s="100" t="s">
        <v>18</v>
      </c>
      <c r="C20" s="116"/>
      <c r="D20" s="39">
        <f>Таблица!A20</f>
        <v>0</v>
      </c>
      <c r="E20" s="40"/>
      <c r="F20" s="40"/>
      <c r="G20" s="41"/>
      <c r="H20" s="39">
        <f>Таблица!B20</f>
        <v>0</v>
      </c>
      <c r="I20" s="40"/>
      <c r="J20" s="40"/>
      <c r="K20" s="40"/>
      <c r="L20" s="40"/>
      <c r="M20" s="41"/>
      <c r="N20" s="131">
        <f>Таблица!C20</f>
        <v>0</v>
      </c>
      <c r="O20" s="132"/>
      <c r="P20" s="132"/>
      <c r="Q20" s="132"/>
      <c r="R20" s="133"/>
      <c r="S20" s="42">
        <f>Таблица!D20</f>
        <v>0</v>
      </c>
      <c r="T20" s="43"/>
    </row>
    <row r="21" spans="1:20" ht="24.6" customHeight="1">
      <c r="A21" s="2"/>
      <c r="B21" s="101"/>
      <c r="C21" s="116"/>
      <c r="D21" s="39">
        <f>Таблица!A21</f>
        <v>0</v>
      </c>
      <c r="E21" s="40"/>
      <c r="F21" s="40"/>
      <c r="G21" s="41"/>
      <c r="H21" s="39">
        <f>Таблица!B21</f>
        <v>0</v>
      </c>
      <c r="I21" s="40"/>
      <c r="J21" s="40"/>
      <c r="K21" s="40"/>
      <c r="L21" s="40"/>
      <c r="M21" s="41"/>
      <c r="N21" s="131">
        <f>Таблица!C21</f>
        <v>0</v>
      </c>
      <c r="O21" s="132"/>
      <c r="P21" s="132"/>
      <c r="Q21" s="132"/>
      <c r="R21" s="133"/>
      <c r="S21" s="42">
        <f>Таблица!D21</f>
        <v>0</v>
      </c>
      <c r="T21" s="43"/>
    </row>
    <row r="22" spans="1:20" ht="24.6" customHeight="1" thickBot="1">
      <c r="A22" s="2"/>
      <c r="B22" s="102"/>
      <c r="C22" s="117"/>
      <c r="D22" s="39">
        <f>Таблица!A22</f>
        <v>0</v>
      </c>
      <c r="E22" s="40"/>
      <c r="F22" s="40"/>
      <c r="G22" s="41"/>
      <c r="H22" s="39">
        <f>Таблица!B22</f>
        <v>0</v>
      </c>
      <c r="I22" s="40"/>
      <c r="J22" s="40"/>
      <c r="K22" s="40"/>
      <c r="L22" s="40"/>
      <c r="M22" s="41"/>
      <c r="N22" s="131">
        <f>Таблица!C22</f>
        <v>0</v>
      </c>
      <c r="O22" s="132"/>
      <c r="P22" s="132"/>
      <c r="Q22" s="132"/>
      <c r="R22" s="133"/>
      <c r="S22" s="42">
        <f>Таблица!D22</f>
        <v>0</v>
      </c>
      <c r="T22" s="43"/>
    </row>
    <row r="23" spans="1:20" ht="24.6" customHeight="1">
      <c r="A23" s="2"/>
      <c r="B23" s="100" t="s">
        <v>34</v>
      </c>
      <c r="C23" s="103"/>
      <c r="D23" s="39">
        <f>Таблица!A23</f>
        <v>0</v>
      </c>
      <c r="E23" s="40"/>
      <c r="F23" s="40"/>
      <c r="G23" s="41"/>
      <c r="H23" s="39">
        <f>Таблица!B23</f>
        <v>0</v>
      </c>
      <c r="I23" s="40"/>
      <c r="J23" s="40"/>
      <c r="K23" s="40"/>
      <c r="L23" s="40"/>
      <c r="M23" s="41"/>
      <c r="N23" s="131">
        <f>Таблица!C23</f>
        <v>0</v>
      </c>
      <c r="O23" s="132"/>
      <c r="P23" s="132"/>
      <c r="Q23" s="132"/>
      <c r="R23" s="133"/>
      <c r="S23" s="42">
        <f>Таблица!D23</f>
        <v>0</v>
      </c>
      <c r="T23" s="43"/>
    </row>
    <row r="24" spans="1:20" ht="24.6" customHeight="1">
      <c r="A24" s="2"/>
      <c r="B24" s="101"/>
      <c r="C24" s="104"/>
      <c r="D24" s="39">
        <f>Таблица!A24</f>
        <v>0</v>
      </c>
      <c r="E24" s="40"/>
      <c r="F24" s="40"/>
      <c r="G24" s="41"/>
      <c r="H24" s="39">
        <f>Таблица!B24</f>
        <v>0</v>
      </c>
      <c r="I24" s="40"/>
      <c r="J24" s="40"/>
      <c r="K24" s="40"/>
      <c r="L24" s="40"/>
      <c r="M24" s="41"/>
      <c r="N24" s="131">
        <f>Таблица!C24</f>
        <v>0</v>
      </c>
      <c r="O24" s="132"/>
      <c r="P24" s="132"/>
      <c r="Q24" s="132"/>
      <c r="R24" s="133"/>
      <c r="S24" s="42">
        <f>Таблица!D24</f>
        <v>0</v>
      </c>
      <c r="T24" s="43"/>
    </row>
    <row r="25" spans="1:20" ht="24.6" customHeight="1" thickBot="1">
      <c r="A25" s="2"/>
      <c r="B25" s="102"/>
      <c r="C25" s="105"/>
      <c r="D25" s="39">
        <f>Таблица!A25</f>
        <v>0</v>
      </c>
      <c r="E25" s="40"/>
      <c r="F25" s="40"/>
      <c r="G25" s="41"/>
      <c r="H25" s="39">
        <f>Таблица!B25</f>
        <v>0</v>
      </c>
      <c r="I25" s="40"/>
      <c r="J25" s="40"/>
      <c r="K25" s="40"/>
      <c r="L25" s="40"/>
      <c r="M25" s="41"/>
      <c r="N25" s="131">
        <f>Таблица!C25</f>
        <v>0</v>
      </c>
      <c r="O25" s="132"/>
      <c r="P25" s="132"/>
      <c r="Q25" s="132"/>
      <c r="R25" s="133"/>
      <c r="S25" s="42">
        <f>Таблица!D25</f>
        <v>0</v>
      </c>
      <c r="T25" s="43"/>
    </row>
    <row r="26" spans="1:20" ht="24.6" customHeight="1">
      <c r="A26" s="2"/>
      <c r="B26" s="100" t="s">
        <v>17</v>
      </c>
      <c r="C26" s="103"/>
      <c r="D26" s="39">
        <f>Таблица!A26</f>
        <v>0</v>
      </c>
      <c r="E26" s="40"/>
      <c r="F26" s="40"/>
      <c r="G26" s="41"/>
      <c r="H26" s="39">
        <f>Таблица!B26</f>
        <v>0</v>
      </c>
      <c r="I26" s="40"/>
      <c r="J26" s="40"/>
      <c r="K26" s="40"/>
      <c r="L26" s="40"/>
      <c r="M26" s="41"/>
      <c r="N26" s="131">
        <f>Таблица!C26</f>
        <v>0</v>
      </c>
      <c r="O26" s="132"/>
      <c r="P26" s="132"/>
      <c r="Q26" s="132"/>
      <c r="R26" s="133"/>
      <c r="S26" s="42">
        <f>Таблица!D26</f>
        <v>0</v>
      </c>
      <c r="T26" s="43"/>
    </row>
    <row r="27" spans="1:20" ht="24.6" customHeight="1">
      <c r="A27" s="2"/>
      <c r="B27" s="101"/>
      <c r="C27" s="104"/>
      <c r="D27" s="39">
        <f>Таблица!A27</f>
        <v>0</v>
      </c>
      <c r="E27" s="40"/>
      <c r="F27" s="40"/>
      <c r="G27" s="41"/>
      <c r="H27" s="39">
        <f>Таблица!B27</f>
        <v>0</v>
      </c>
      <c r="I27" s="40"/>
      <c r="J27" s="40"/>
      <c r="K27" s="40"/>
      <c r="L27" s="40"/>
      <c r="M27" s="41"/>
      <c r="N27" s="131">
        <f>Таблица!C27</f>
        <v>0</v>
      </c>
      <c r="O27" s="132"/>
      <c r="P27" s="132"/>
      <c r="Q27" s="132"/>
      <c r="R27" s="133"/>
      <c r="S27" s="42">
        <f>Таблица!D27</f>
        <v>0</v>
      </c>
      <c r="T27" s="43"/>
    </row>
    <row r="28" spans="1:20" ht="24.6" customHeight="1">
      <c r="A28" s="2"/>
      <c r="B28" s="101"/>
      <c r="C28" s="104"/>
      <c r="D28" s="39">
        <f>Таблица!A28</f>
        <v>0</v>
      </c>
      <c r="E28" s="40"/>
      <c r="F28" s="40"/>
      <c r="G28" s="41"/>
      <c r="H28" s="39">
        <f>Таблица!B28</f>
        <v>0</v>
      </c>
      <c r="I28" s="40"/>
      <c r="J28" s="40"/>
      <c r="K28" s="40"/>
      <c r="L28" s="40"/>
      <c r="M28" s="41"/>
      <c r="N28" s="131">
        <f>Таблица!C28</f>
        <v>0</v>
      </c>
      <c r="O28" s="132"/>
      <c r="P28" s="132"/>
      <c r="Q28" s="132"/>
      <c r="R28" s="133"/>
      <c r="S28" s="42">
        <f>Таблица!D28</f>
        <v>0</v>
      </c>
      <c r="T28" s="43"/>
    </row>
    <row r="29" spans="1:20" ht="24.6" customHeight="1">
      <c r="A29" s="2"/>
      <c r="B29" s="101"/>
      <c r="C29" s="104"/>
      <c r="D29" s="39">
        <f>Таблица!A29</f>
        <v>0</v>
      </c>
      <c r="E29" s="40"/>
      <c r="F29" s="40"/>
      <c r="G29" s="41"/>
      <c r="H29" s="39">
        <f>Таблица!B29</f>
        <v>0</v>
      </c>
      <c r="I29" s="40"/>
      <c r="J29" s="40"/>
      <c r="K29" s="40"/>
      <c r="L29" s="40"/>
      <c r="M29" s="41"/>
      <c r="N29" s="131">
        <f>Таблица!C29</f>
        <v>0</v>
      </c>
      <c r="O29" s="132"/>
      <c r="P29" s="132"/>
      <c r="Q29" s="132"/>
      <c r="R29" s="133"/>
      <c r="S29" s="42">
        <f>Таблица!D29</f>
        <v>0</v>
      </c>
      <c r="T29" s="43"/>
    </row>
    <row r="30" spans="1:20" ht="24.6" customHeight="1" thickBot="1">
      <c r="A30" s="2"/>
      <c r="B30" s="102"/>
      <c r="C30" s="105"/>
      <c r="D30" s="39">
        <f>Таблица!A30</f>
        <v>0</v>
      </c>
      <c r="E30" s="40"/>
      <c r="F30" s="40"/>
      <c r="G30" s="41"/>
      <c r="H30" s="39">
        <f>Таблица!B30</f>
        <v>0</v>
      </c>
      <c r="I30" s="40"/>
      <c r="J30" s="40"/>
      <c r="K30" s="40"/>
      <c r="L30" s="40"/>
      <c r="M30" s="41"/>
      <c r="N30" s="131">
        <f>Таблица!C30</f>
        <v>0</v>
      </c>
      <c r="O30" s="132"/>
      <c r="P30" s="132"/>
      <c r="Q30" s="132"/>
      <c r="R30" s="133"/>
      <c r="S30" s="42">
        <f>Таблица!D30</f>
        <v>0</v>
      </c>
      <c r="T30" s="43"/>
    </row>
    <row r="31" spans="1:20" ht="24.6" customHeight="1">
      <c r="A31" s="2"/>
      <c r="B31" s="100" t="s">
        <v>19</v>
      </c>
      <c r="C31" s="103"/>
      <c r="D31" s="39">
        <f>Таблица!A31</f>
        <v>0</v>
      </c>
      <c r="E31" s="40"/>
      <c r="F31" s="40"/>
      <c r="G31" s="41"/>
      <c r="H31" s="39">
        <f>Таблица!B31</f>
        <v>0</v>
      </c>
      <c r="I31" s="40"/>
      <c r="J31" s="40"/>
      <c r="K31" s="40"/>
      <c r="L31" s="40"/>
      <c r="M31" s="41"/>
      <c r="N31" s="131">
        <f>Таблица!C31</f>
        <v>0</v>
      </c>
      <c r="O31" s="132"/>
      <c r="P31" s="132"/>
      <c r="Q31" s="132"/>
      <c r="R31" s="133"/>
      <c r="S31" s="42">
        <f>Таблица!D31</f>
        <v>0</v>
      </c>
      <c r="T31" s="43"/>
    </row>
    <row r="32" spans="1:20" ht="24.6" customHeight="1" thickBot="1">
      <c r="A32" s="2"/>
      <c r="B32" s="101"/>
      <c r="C32" s="104"/>
      <c r="D32" s="44">
        <f>Таблица!A32</f>
        <v>0</v>
      </c>
      <c r="E32" s="45"/>
      <c r="F32" s="45"/>
      <c r="G32" s="46"/>
      <c r="H32" s="44">
        <f>Таблица!B32</f>
        <v>0</v>
      </c>
      <c r="I32" s="45"/>
      <c r="J32" s="45"/>
      <c r="K32" s="45"/>
      <c r="L32" s="45"/>
      <c r="M32" s="46"/>
      <c r="N32" s="134">
        <f>Таблица!C32</f>
        <v>0</v>
      </c>
      <c r="O32" s="135"/>
      <c r="P32" s="135"/>
      <c r="Q32" s="135"/>
      <c r="R32" s="136"/>
      <c r="S32" s="47">
        <f>Таблица!D32</f>
        <v>0</v>
      </c>
      <c r="T32" s="48"/>
    </row>
    <row r="33" spans="1:20" ht="15" customHeight="1" thickBot="1">
      <c r="A33" s="2"/>
      <c r="B33" s="101"/>
      <c r="C33" s="104"/>
      <c r="D33" s="23"/>
      <c r="E33" s="23"/>
      <c r="F33" s="23"/>
      <c r="G33" s="127"/>
      <c r="H33" s="128"/>
      <c r="I33" s="23"/>
      <c r="J33" s="65">
        <f>KDNumber</f>
        <v>0</v>
      </c>
      <c r="K33" s="66"/>
      <c r="L33" s="66"/>
      <c r="M33" s="66"/>
      <c r="N33" s="66"/>
      <c r="O33" s="66"/>
      <c r="P33" s="66"/>
      <c r="Q33" s="66"/>
      <c r="R33" s="66"/>
      <c r="S33" s="66"/>
      <c r="T33" s="28" t="s">
        <v>0</v>
      </c>
    </row>
    <row r="34" spans="1:20" ht="15" customHeight="1">
      <c r="A34" s="2"/>
      <c r="B34" s="101"/>
      <c r="C34" s="104"/>
      <c r="D34" s="22"/>
      <c r="E34" s="22"/>
      <c r="F34" s="22"/>
      <c r="G34" s="123"/>
      <c r="H34" s="124"/>
      <c r="I34" s="22"/>
      <c r="J34" s="65"/>
      <c r="K34" s="66"/>
      <c r="L34" s="66"/>
      <c r="M34" s="66"/>
      <c r="N34" s="66"/>
      <c r="O34" s="66"/>
      <c r="P34" s="66"/>
      <c r="Q34" s="66"/>
      <c r="R34" s="66"/>
      <c r="S34" s="66"/>
      <c r="T34" s="125">
        <f>((ROW(A1)-1-38)/35)+2</f>
        <v>0.91428571428571437</v>
      </c>
    </row>
    <row r="35" spans="1:20" ht="15" customHeight="1" thickBot="1">
      <c r="A35" s="2"/>
      <c r="B35" s="102"/>
      <c r="C35" s="105"/>
      <c r="D35" s="21" t="s">
        <v>2</v>
      </c>
      <c r="E35" s="21" t="s">
        <v>0</v>
      </c>
      <c r="F35" s="21" t="s">
        <v>3</v>
      </c>
      <c r="G35" s="129" t="s">
        <v>4</v>
      </c>
      <c r="H35" s="130"/>
      <c r="I35" s="21" t="s">
        <v>5</v>
      </c>
      <c r="J35" s="68"/>
      <c r="K35" s="69"/>
      <c r="L35" s="69"/>
      <c r="M35" s="69"/>
      <c r="N35" s="69"/>
      <c r="O35" s="69"/>
      <c r="P35" s="69"/>
      <c r="Q35" s="69"/>
      <c r="R35" s="69"/>
      <c r="S35" s="69"/>
      <c r="T35" s="126"/>
    </row>
    <row r="36" spans="1:20" ht="14.25" customHeight="1"/>
  </sheetData>
  <mergeCells count="143">
    <mergeCell ref="D1:G1"/>
    <mergeCell ref="H1:M1"/>
    <mergeCell ref="N1:R1"/>
    <mergeCell ref="S1:T1"/>
    <mergeCell ref="D2:G2"/>
    <mergeCell ref="H2:M2"/>
    <mergeCell ref="N2:R2"/>
    <mergeCell ref="S2:T2"/>
    <mergeCell ref="D5:G5"/>
    <mergeCell ref="H5:M5"/>
    <mergeCell ref="N5:R5"/>
    <mergeCell ref="S5:T5"/>
    <mergeCell ref="D6:G6"/>
    <mergeCell ref="H6:M6"/>
    <mergeCell ref="N6:R6"/>
    <mergeCell ref="S6:T6"/>
    <mergeCell ref="D3:G3"/>
    <mergeCell ref="H3:M3"/>
    <mergeCell ref="N3:R3"/>
    <mergeCell ref="S3:T3"/>
    <mergeCell ref="D4:G4"/>
    <mergeCell ref="H4:M4"/>
    <mergeCell ref="N4:R4"/>
    <mergeCell ref="S4:T4"/>
    <mergeCell ref="D9:G9"/>
    <mergeCell ref="H9:M9"/>
    <mergeCell ref="N9:R9"/>
    <mergeCell ref="S9:T9"/>
    <mergeCell ref="D10:G10"/>
    <mergeCell ref="H10:M10"/>
    <mergeCell ref="N10:R10"/>
    <mergeCell ref="S10:T10"/>
    <mergeCell ref="D7:G7"/>
    <mergeCell ref="H7:M7"/>
    <mergeCell ref="N7:R7"/>
    <mergeCell ref="S7:T7"/>
    <mergeCell ref="D8:G8"/>
    <mergeCell ref="H8:M8"/>
    <mergeCell ref="N8:R8"/>
    <mergeCell ref="S8:T8"/>
    <mergeCell ref="D13:G13"/>
    <mergeCell ref="H13:M13"/>
    <mergeCell ref="N13:R13"/>
    <mergeCell ref="S13:T13"/>
    <mergeCell ref="D14:G14"/>
    <mergeCell ref="H14:M14"/>
    <mergeCell ref="N14:R14"/>
    <mergeCell ref="S14:T14"/>
    <mergeCell ref="D11:G11"/>
    <mergeCell ref="H11:M11"/>
    <mergeCell ref="N11:R11"/>
    <mergeCell ref="S11:T11"/>
    <mergeCell ref="D12:G12"/>
    <mergeCell ref="H12:M12"/>
    <mergeCell ref="N12:R12"/>
    <mergeCell ref="S12:T12"/>
    <mergeCell ref="B20:B22"/>
    <mergeCell ref="C20:C22"/>
    <mergeCell ref="D15:G15"/>
    <mergeCell ref="H15:M15"/>
    <mergeCell ref="N15:R15"/>
    <mergeCell ref="S15:T15"/>
    <mergeCell ref="D16:G16"/>
    <mergeCell ref="H16:M16"/>
    <mergeCell ref="N16:R16"/>
    <mergeCell ref="S16:T16"/>
    <mergeCell ref="D17:G17"/>
    <mergeCell ref="H17:M17"/>
    <mergeCell ref="N17:R17"/>
    <mergeCell ref="S17:T17"/>
    <mergeCell ref="D18:G18"/>
    <mergeCell ref="H18:M18"/>
    <mergeCell ref="N18:R18"/>
    <mergeCell ref="S18:T18"/>
    <mergeCell ref="B15:B19"/>
    <mergeCell ref="C15:C19"/>
    <mergeCell ref="D22:G22"/>
    <mergeCell ref="H22:M22"/>
    <mergeCell ref="N22:R22"/>
    <mergeCell ref="S22:T22"/>
    <mergeCell ref="D25:G25"/>
    <mergeCell ref="H25:M25"/>
    <mergeCell ref="N25:R25"/>
    <mergeCell ref="S25:T25"/>
    <mergeCell ref="N23:R23"/>
    <mergeCell ref="S23:T23"/>
    <mergeCell ref="D19:G19"/>
    <mergeCell ref="H19:M19"/>
    <mergeCell ref="N19:R19"/>
    <mergeCell ref="S19:T19"/>
    <mergeCell ref="D20:G20"/>
    <mergeCell ref="H20:M20"/>
    <mergeCell ref="N20:R20"/>
    <mergeCell ref="S20:T20"/>
    <mergeCell ref="D21:G21"/>
    <mergeCell ref="H21:M21"/>
    <mergeCell ref="N21:R21"/>
    <mergeCell ref="S21:T21"/>
    <mergeCell ref="D27:G27"/>
    <mergeCell ref="H27:M27"/>
    <mergeCell ref="N27:R27"/>
    <mergeCell ref="S27:T27"/>
    <mergeCell ref="D28:G28"/>
    <mergeCell ref="H28:M28"/>
    <mergeCell ref="N28:R28"/>
    <mergeCell ref="S28:T28"/>
    <mergeCell ref="N26:R26"/>
    <mergeCell ref="S26:T26"/>
    <mergeCell ref="H32:M32"/>
    <mergeCell ref="N32:R32"/>
    <mergeCell ref="S32:T32"/>
    <mergeCell ref="D29:G29"/>
    <mergeCell ref="H29:M29"/>
    <mergeCell ref="N29:R29"/>
    <mergeCell ref="S29:T29"/>
    <mergeCell ref="D30:G30"/>
    <mergeCell ref="H30:M30"/>
    <mergeCell ref="N30:R30"/>
    <mergeCell ref="S30:T30"/>
    <mergeCell ref="G34:H34"/>
    <mergeCell ref="T34:T35"/>
    <mergeCell ref="G33:H33"/>
    <mergeCell ref="J33:S35"/>
    <mergeCell ref="B23:B25"/>
    <mergeCell ref="C23:C25"/>
    <mergeCell ref="B26:B30"/>
    <mergeCell ref="C26:C30"/>
    <mergeCell ref="B31:B35"/>
    <mergeCell ref="C31:C35"/>
    <mergeCell ref="G35:H35"/>
    <mergeCell ref="D31:G31"/>
    <mergeCell ref="H31:M31"/>
    <mergeCell ref="D23:G23"/>
    <mergeCell ref="H23:M23"/>
    <mergeCell ref="D24:G24"/>
    <mergeCell ref="H24:M24"/>
    <mergeCell ref="N24:R24"/>
    <mergeCell ref="S24:T24"/>
    <mergeCell ref="D26:G26"/>
    <mergeCell ref="H26:M26"/>
    <mergeCell ref="N31:R31"/>
    <mergeCell ref="S31:T31"/>
    <mergeCell ref="D32:G32"/>
  </mergeCells>
  <pageMargins left="0" right="0.19685039370078741" top="0.19685039370078741" bottom="0.19685039370078741" header="0.51181102362204722" footer="0.51181102362204722"/>
  <pageSetup paperSize="9" fitToHeight="0" orientation="portrait" r:id="rId1"/>
  <headerFooter alignWithMargins="0"/>
  <rowBreaks count="1" manualBreakCount="1">
    <brk id="3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19</vt:i4>
      </vt:variant>
    </vt:vector>
  </HeadingPairs>
  <TitlesOfParts>
    <vt:vector size="23" baseType="lpstr">
      <vt:lpstr>Для печати</vt:lpstr>
      <vt:lpstr>Таблица</vt:lpstr>
      <vt:lpstr>Info</vt:lpstr>
      <vt:lpstr>Шаблон листа</vt:lpstr>
      <vt:lpstr>AdditionalName</vt:lpstr>
      <vt:lpstr>Approved</vt:lpstr>
      <vt:lpstr>Author</vt:lpstr>
      <vt:lpstr>CreationDate</vt:lpstr>
      <vt:lpstr>Destination</vt:lpstr>
      <vt:lpstr>DocName</vt:lpstr>
      <vt:lpstr>IsBlock</vt:lpstr>
      <vt:lpstr>KDNumber</vt:lpstr>
      <vt:lpstr>N.Contr</vt:lpstr>
      <vt:lpstr>NameAdd</vt:lpstr>
      <vt:lpstr>NameMain</vt:lpstr>
      <vt:lpstr>NumKD</vt:lpstr>
      <vt:lpstr>OrderNumber</vt:lpstr>
      <vt:lpstr>Revisor</vt:lpstr>
      <vt:lpstr>SelectedText1</vt:lpstr>
      <vt:lpstr>SelectedText2</vt:lpstr>
      <vt:lpstr>SheetsNumber</vt:lpstr>
      <vt:lpstr>T.Contr</vt:lpstr>
      <vt:lpstr>Version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yu.vorobiev</cp:lastModifiedBy>
  <cp:lastPrinted>2012-10-07T18:42:13Z</cp:lastPrinted>
  <dcterms:created xsi:type="dcterms:W3CDTF">1996-10-08T23:32:33Z</dcterms:created>
  <dcterms:modified xsi:type="dcterms:W3CDTF">2026-10-23T12:37:00Z</dcterms:modified>
</cp:coreProperties>
</file>